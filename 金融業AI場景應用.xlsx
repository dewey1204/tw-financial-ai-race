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wey/git/tw-financial-ai-race/"/>
    </mc:Choice>
  </mc:AlternateContent>
  <xr:revisionPtr revIDLastSave="0" documentId="13_ncr:1_{79046CAE-E949-C54B-90B8-8F0AB9FB2192}" xr6:coauthVersionLast="47" xr6:coauthVersionMax="47" xr10:uidLastSave="{00000000-0000-0000-0000-000000000000}"/>
  <bookViews>
    <workbookView xWindow="0" yWindow="600" windowWidth="38400" windowHeight="19340" activeTab="2" xr2:uid="{00000000-000D-0000-FFFF-FFFF00000000}"/>
  </bookViews>
  <sheets>
    <sheet name="AI應用場景" sheetId="1" r:id="rId1"/>
    <sheet name="來源索引" sheetId="2" r:id="rId2"/>
    <sheet name="分類說明" sheetId="3" r:id="rId3"/>
  </sheets>
  <definedNames>
    <definedName name="所屬金控選項">來源索引!$H$2:$H$16</definedName>
    <definedName name="業別選項">_xlfn.ANCHORARRAY(來源索引!$F$2)</definedName>
    <definedName name="業者選項">_xlfn.ANCHORARRAY(來源索引!$G$2)</definedName>
    <definedName name="類別選項">分類說明!$A$5:$A$18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2" l="1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2" i="2" a="1"/>
  <c r="F2" i="2" a="1"/>
  <c r="D2" i="2"/>
  <c r="I19" i="3"/>
  <c r="I18" i="3"/>
  <c r="D18" i="3"/>
  <c r="I17" i="3"/>
  <c r="D17" i="3"/>
  <c r="I16" i="3"/>
  <c r="D16" i="3"/>
  <c r="I15" i="3"/>
  <c r="D15" i="3"/>
  <c r="I14" i="3"/>
  <c r="D14" i="3"/>
  <c r="I13" i="3"/>
  <c r="D13" i="3"/>
  <c r="I12" i="3"/>
  <c r="D12" i="3"/>
  <c r="I11" i="3"/>
  <c r="D11" i="3"/>
  <c r="I10" i="3"/>
  <c r="D10" i="3"/>
  <c r="I9" i="3"/>
  <c r="D9" i="3"/>
  <c r="I8" i="3"/>
  <c r="D8" i="3"/>
  <c r="I7" i="3"/>
  <c r="D7" i="3"/>
  <c r="I6" i="3"/>
  <c r="D6" i="3"/>
  <c r="I5" i="3"/>
  <c r="I20" i="3" s="1"/>
  <c r="D5" i="3"/>
  <c r="D19" i="3" l="1"/>
  <c r="A22" i="3" s="1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16" i="2"/>
  <c r="G2" i="2"/>
  <c r="F2" i="2"/>
  <c r="F4" i="2"/>
  <c r="F3" i="2"/>
</calcChain>
</file>

<file path=xl/sharedStrings.xml><?xml version="1.0" encoding="utf-8"?>
<sst xmlns="http://schemas.openxmlformats.org/spreadsheetml/2006/main" count="1155" uniqueCount="363">
  <si>
    <t>台灣金融業 AI 應用｜分類說明</t>
  </si>
  <si>
    <t>所屬金控｜名稱關鍵字歸類</t>
  </si>
  <si>
    <t>來源：各業者AI應用 1.pdf，附件二，全文 7 頁；資料由金融機構及周邊單位自行提供。</t>
  </si>
  <si>
    <t>依指定14組名稱關鍵字重新歸類，多項符合時依表列順序優先；未符合者標為「未歸類」，不代表已確認無金控隸屬。結果以分類值保存，可透過主表下拉選單手動調整。</t>
  </si>
  <si>
    <t>類別</t>
  </si>
  <si>
    <t>判斷原則</t>
  </si>
  <si>
    <t>界線與注意事項</t>
  </si>
  <si>
    <t>場景筆數</t>
  </si>
  <si>
    <t>關鍵字 1</t>
  </si>
  <si>
    <t>其他關鍵字（或）</t>
  </si>
  <si>
    <t>所屬金控</t>
  </si>
  <si>
    <t>RAG/KM</t>
  </si>
  <si>
    <t>結合文件／知識檢索與生成回答。</t>
  </si>
  <si>
    <t>台中銀行、口袋證券原文明示 RAG；華南銀行、國泰世華銀行員工助手、達信、聯博依用途推定，並非技術驗證。</t>
  </si>
  <si>
    <t>元大</t>
  </si>
  <si>
    <t>元大金</t>
  </si>
  <si>
    <t>語音質檢/應用</t>
  </si>
  <si>
    <t>語音轉文字、文字轉語音、錄音／語音質檢，以及明示語音辨識、IVR、語音機器人或語音自助服務的應用。</t>
  </si>
  <si>
    <t>語音相關用途優先於 RPA、智能客服等分類；錄音質檢不須明示轉文字即可納入。語音服務不代表已驗證 STT／TTS 技術；僅通話摘要或 AI 播報且未明示語音轉換／質檢者不逕行納入。</t>
  </si>
  <si>
    <t>富邦</t>
  </si>
  <si>
    <t>富邦金</t>
  </si>
  <si>
    <t>生成式AI</t>
  </si>
  <si>
    <t>內容、摘要、報告、影音生成，以及明示 LLM 的內容處理；程式／SQL 開發輔助另歸程式助手。</t>
  </si>
  <si>
    <t>亦包含依角色對練、報告產出等用途推定者；不是每項都由原文明示生成式技術。</t>
  </si>
  <si>
    <t>國泰</t>
  </si>
  <si>
    <t>國泰世華</t>
  </si>
  <si>
    <t>國泰金</t>
  </si>
  <si>
    <t>比對</t>
  </si>
  <si>
    <t>以法規關聯、威脅情資或文件適法性比較為主要用途。</t>
  </si>
  <si>
    <t>不將所有風險模型、審查、保單健診或 eKYC 一律視為比對。</t>
  </si>
  <si>
    <t>中信</t>
  </si>
  <si>
    <t>中國信託、台灣人壽</t>
  </si>
  <si>
    <t>中信金</t>
  </si>
  <si>
    <t>阻詐</t>
  </si>
  <si>
    <t>明確用於詐欺偵測、識詐、聯防或阻擋詐騙。</t>
  </si>
  <si>
    <t>一般風險評級、反洗錢、異常交易、資安及理賠異常，不在未明示詐欺時直接歸入。</t>
  </si>
  <si>
    <t>凱基</t>
  </si>
  <si>
    <t>開發</t>
  </si>
  <si>
    <t>凱基金</t>
  </si>
  <si>
    <t>M365 Copilot</t>
  </si>
  <si>
    <t>原文提及 Microsoft／微軟 Copilot 或 M365 Copilot 的辦公與生產力應用。</t>
  </si>
  <si>
    <t>將僅稱 Copilot 的辦公應用一併歸此；明示程式開發用途者優先歸程式助手。不憑 Copilot 名稱推定為 GitHub Copilot，版本與授權以原文為準。</t>
  </si>
  <si>
    <t>永豐</t>
  </si>
  <si>
    <t>永豐金</t>
  </si>
  <si>
    <t>AI Agent</t>
  </si>
  <si>
    <t>原文明確提到 AI 代理人或AI Agent或Agent</t>
  </si>
  <si>
    <t>不因名稱含「助理」「機器人」或「AI 投資長」就推定為自主代理。</t>
  </si>
  <si>
    <t>台新</t>
  </si>
  <si>
    <t>新光</t>
  </si>
  <si>
    <t>台新新光金</t>
  </si>
  <si>
    <t>OCR</t>
  </si>
  <si>
    <t>原文明確使用 AI OCR 進行文件或表單辨識及欄位擷取。</t>
  </si>
  <si>
    <t>LLM 單據萃取、AI 審票未明示 OCR 者不自行推定。</t>
  </si>
  <si>
    <t>玉山</t>
  </si>
  <si>
    <t>玉山金</t>
  </si>
  <si>
    <t>智能客服</t>
  </si>
  <si>
    <t>以對客服務、諮詢問答、語音對話、IVR 或電訪機器人為主要用途。</t>
  </si>
  <si>
    <t>對客服務原則歸此；明示語音辨識、IVR、語音機器人、語音自助服務或語音質檢者，優先歸語音質檢/應用；內部助理不直接歸客服。</t>
  </si>
  <si>
    <t>兆豐</t>
  </si>
  <si>
    <t>兆豐金</t>
  </si>
  <si>
    <t>程式助手</t>
  </si>
  <si>
    <t>GitHub Copilot 或其它輔助程式／SQL 撰寫、軟體開發、編譯、測試修復或 debug 的應用。</t>
  </si>
  <si>
    <t>明示程式開發用途者優先歸此，含混合辦公用途及 Text-to-SQL；僅提供 API 或泛稱支援開發團隊不足以判入。現有場景未明示 GitHub Copilot。</t>
  </si>
  <si>
    <t>第一</t>
  </si>
  <si>
    <t>第一金</t>
  </si>
  <si>
    <t>RPA</t>
  </si>
  <si>
    <t>依指定口徑，場景明示 RPA 或流程自動化即歸此，含徵審自動化；語音質檢／應用優先另分類。</t>
  </si>
  <si>
    <t>本分類採用途口徑，不代表均採傳統 RPA 技術；語音自動化質檢改歸語音質檢/應用。僅自動生成、摘要、辨識、設控或泛稱效率提升，不直接判入。</t>
  </si>
  <si>
    <t>華南</t>
  </si>
  <si>
    <t>華南金</t>
  </si>
  <si>
    <t>模型訓練</t>
  </si>
  <si>
    <t>依指定口徑，將本次調整前類別為「其它」，且場景文字含「模型」的項目歸入。</t>
  </si>
  <si>
    <t>依文字條件分類，包含模型預測、排序及風險應用；不代表原文已明示模型訓練用途。</t>
  </si>
  <si>
    <t>合庫</t>
  </si>
  <si>
    <t>合庫金</t>
  </si>
  <si>
    <t>App</t>
  </si>
  <si>
    <t>場景描述與 App 有關者歸入此類。</t>
  </si>
  <si>
    <t>國票</t>
  </si>
  <si>
    <t>國票金</t>
  </si>
  <si>
    <t>其它</t>
  </si>
  <si>
    <t>預測、排序、評分、基礎架構，或資訊不足的應用；明示 RPA／流程自動化者另歸 RPA；本次原為其它且場景含「模型」者改歸模型訓練。</t>
  </si>
  <si>
    <t>保留原文概括敘述，不自行補寫不存在的細節；「其它」不代表不使用 AI。</t>
  </si>
  <si>
    <t>臺銀</t>
  </si>
  <si>
    <t>臺灣銀行、臺灣金控</t>
  </si>
  <si>
    <t>臺灣金</t>
  </si>
  <si>
    <t>合計場景</t>
  </si>
  <si>
    <t>未符合上述關鍵字</t>
  </si>
  <si>
    <t>未歸類</t>
  </si>
  <si>
    <t>整理口徑與資料限制</t>
  </si>
  <si>
    <t>拆分原則：每列為一個可獨立辨識的用途；同一產品若涵蓋不同功能可拆列。同一 Copilot 辦公套件的常見工作則合併敘述，筆數不等於系統數或成熟度。 全盈支付依指定將軟體開發、資料庫語言審查及白箱測試風險修復合併為一筆，歸類為程式助手。 富邦證券依指定將 AI 投資助理的市場問答、美股法說會摘要及每日盤前資訊播報合併為一筆，歸類為生成式AI。 永豐金證券依指定將個股 AI 市場輿情分析及每日投資早報合併為一筆，歸類為生成式AI。 統一期貨依指定將資料整理、簡報生成及複雜文件處理合併為一筆，歸類為 M365 Copilot。 富邦期貨依指定將「富邦 AI PRO」投資問答、法說會摘要、AI 主播盤前播報及個人化資訊推送合併為一筆，並依使用者指定改歸 App。 聯博投信依指定將 ABAI 的文件資料聊天查詢、資料抽取、文件比較、圖表生成、Text-to-SQL 及安全 API 支援合併為一筆，歸類為其它；其餘場景保留。</t>
  </si>
  <si>
    <t>單一分類：每筆只選一個主要類別；語音轉文字、文字轉語音、錄音／語音質檢及明示語音辨識／服務者優先歸語音質檢/應用；其後依 RPA／流程自動化、程式助手及其餘主要用途分類。</t>
  </si>
  <si>
    <t>推定標註：主表部分列依用途推定技術類別；RAG 等標籤是整理判斷，不代表對業者技術架構進行查證。</t>
  </si>
  <si>
    <t>產品名稱：除原文明示 M365 者外，Copilot 的版本與授權不明；純辦公用途歸 M365 Copilot，明示程式開發用途歸程式助手；本次未將任何場景自行推定為 GitHub Copilot。</t>
  </si>
  <si>
    <t>資料限制：原文未詳述的場景仍予保留並註明；未引入外部資料。原文所列精準度、減量比例等為業者自行提供，未獨立驗證。</t>
  </si>
  <si>
    <t>來源回查：請於「來源索引」以業者查找 PDF 頁碼；跨頁項目標為 2–3、3–4、5–6。PDF 頁序與本附件印刷頁碼一致。</t>
  </si>
  <si>
    <t>使用方式：主表可依業別、業者及類別篩選；來源索引與本表的場景筆數以公式連結主表，後續修改分類時會重新計算。</t>
  </si>
  <si>
    <t>業別</t>
  </si>
  <si>
    <t>業者</t>
  </si>
  <si>
    <t>場景</t>
  </si>
  <si>
    <t>更新日期</t>
  </si>
  <si>
    <t>銀行業</t>
  </si>
  <si>
    <t>富邦金控</t>
  </si>
  <si>
    <t>智能法遵系統：蒐集外規異動資訊，自動判讀內外規及相關單位關聯，輔助法遵檢視與派發作業。</t>
  </si>
  <si>
    <t>端點偵測及回應（EDR）資安監控分析：即時監控電腦活動，交叉比對威脅情資。</t>
  </si>
  <si>
    <t>網路偵測與回應（NDR）：即時側錄與截取網路流量，以機器學習解析異常行為。</t>
  </si>
  <si>
    <t>臺灣金控</t>
  </si>
  <si>
    <t>導入微軟 Copilot，協助文件撰寫、資料分析、簡報製作、資訊摘要及報告初稿，並支援會議紀錄、信件與公文作業。</t>
  </si>
  <si>
    <t>玉山金控</t>
  </si>
  <si>
    <t>「金融無塵室」計畫：應用同態加密與雙盲技術，在安全合規環境促成跨行庫、跨產業資料協作，強化聯防識詐。</t>
  </si>
  <si>
    <t>王道銀行</t>
  </si>
  <si>
    <t>智能客服。</t>
  </si>
  <si>
    <t>連線銀行</t>
  </si>
  <si>
    <t>防詐預警：已發展四個預警模型，其中兩個具每小時自動 BLOCK 機制。</t>
  </si>
  <si>
    <t>台新銀行</t>
  </si>
  <si>
    <t>防範詐騙：以圖演算法追蹤多層次金流與可疑帳戶，結合機器學習辨識詐騙模式。</t>
  </si>
  <si>
    <t>智能質檢：導入 ASR 語音辨識與 LLM，建構自動化質檢流程，實現音檔轉譯文本等作業。</t>
  </si>
  <si>
    <t>智能小幫手：建立智能知識管理平台，提供內部員工語意式智能搜尋問答（原文未明示 RAG）。</t>
  </si>
  <si>
    <t>彰化銀行</t>
  </si>
  <si>
    <t>「鷹眼 AI 防詐模型」：搭配「疑似不法顯屬異常」兩項 Rule-based 風險態樣指標，每日自動設控高風險存款帳戶，並保留人工審核、介入及解控救濟機制。</t>
  </si>
  <si>
    <t>將來銀行</t>
  </si>
  <si>
    <t>「AI 小將」文字客服：提供 24×7 服務，涵蓋既有產品，原文載明覆蓋率（精準度）達 97.6%。</t>
  </si>
  <si>
    <t>渣打銀行</t>
  </si>
  <si>
    <t>YODA 銀行內部智能助理機器人：協助員工快速找到所需資訊（原文未明示 RAG 或自主代理機制）。</t>
  </si>
  <si>
    <t>華南銀行</t>
  </si>
  <si>
    <t>AI 助理系統：快速檢索銀行核心知識並生成摘要（依檢索結合生成的用途判為 RAG）。</t>
  </si>
  <si>
    <t>「雷神識詐」：鎖定異常帳戶以防範詐騙。</t>
  </si>
  <si>
    <t>AML 風險評級：對案件進行風險分級，提升審查效率。</t>
  </si>
  <si>
    <t>智能 IVR：透過語音辨識判斷並完成客戶意圖。</t>
  </si>
  <si>
    <t>AI 代理人：運用於投研報告及產經週報，協助掌握全球市場動態與產業趨勢。</t>
  </si>
  <si>
    <t>台中銀行</t>
  </si>
  <si>
    <t>知識檢索平台：以 RAG 整合行內規章，跨部門定位文件片段，並結合生成式 AI 自動彙整、即時產出重點答案。</t>
  </si>
  <si>
    <t>臺灣銀行</t>
  </si>
  <si>
    <t>導入 Copilot，協助文件撰寫、資料分析、簡報製作、資訊摘要及報告初稿，並支援會議紀錄、信件與公文作業。</t>
  </si>
  <si>
    <t>玉山銀行</t>
  </si>
  <si>
    <t>信貸流程導入 Proxy Income 財力評估模型與自動報價系統，實現數據驅動風險定價，提升徵審自動化時效。</t>
  </si>
  <si>
    <t>元大銀行</t>
  </si>
  <si>
    <t>「天網防詐模型」：訓練 AI 辨識客戶交易行為是否涉及詐騙並提前預警。</t>
  </si>
  <si>
    <t>國泰世華銀行</t>
  </si>
  <si>
    <t>員工 AI 助手：結合生成式 AI 與知識管理，協助查詢作業規範、業務知識及常見問題（依知識查詢結合生成的用途判為 RAG）。</t>
  </si>
  <si>
    <t>智能客服「阿發」：結合生成式 AI、官網公開資訊及 FAQ 檢索資料庫，供客戶查找銀行業務與服務資訊。</t>
  </si>
  <si>
    <t>滙豐銀行</t>
  </si>
  <si>
    <t>AI Markets：以自然語言處理（NLP）及大型語言模型（LLM）等技術，支援機構投資人與全球市場互動。</t>
  </si>
  <si>
    <t>臺灣中小企銀</t>
  </si>
  <si>
    <t>行動銀行智能語音小幫手 i-Money：結合 NLU、語音辨識與 API，提供功能導航、帳務查詢、轉帳及近 50 項生活繳費等語音對話服務。</t>
  </si>
  <si>
    <t>中國信託銀行</t>
  </si>
  <si>
    <t>智能客服「小 C」。</t>
  </si>
  <si>
    <t>分行 AI 審票（原文未交代具體辨識或比對技術）。</t>
  </si>
  <si>
    <t>防詐應用（原文未詳述）。</t>
  </si>
  <si>
    <t>台北富邦銀行</t>
  </si>
  <si>
    <t>即時意圖偵測模型。</t>
  </si>
  <si>
    <t>跨產品偏好排序模型。</t>
  </si>
  <si>
    <t>情境偏好排序模型。</t>
  </si>
  <si>
    <t>產品意圖預測模型。</t>
  </si>
  <si>
    <t>鷹眼防詐模型。</t>
  </si>
  <si>
    <t>樂天銀行</t>
  </si>
  <si>
    <t>於鷹眼聯盟會議分享應用與成效（原文未詳述實際場景與技術，但有鷹眼就歸類為阻詐）。</t>
  </si>
  <si>
    <t>全盈支付</t>
  </si>
  <si>
    <t>導入 AI 助理，協助軟體開發、資料庫語言審查及白箱測試風險修復，兼顧服務功能發展與資安風險控管。</t>
  </si>
  <si>
    <t>全支付公司</t>
  </si>
  <si>
    <t>程式碼除錯：以 AI 檢驗 code 內容 bug，提升程式正確性。</t>
  </si>
  <si>
    <t>內部教育訓練：以 AI 調整、檢核或生成內部訓練內容，降低人力耗費並提升訓練成效。</t>
  </si>
  <si>
    <t>金融研訓院</t>
  </si>
  <si>
    <t>AI 線上面試輔助口試（原文未交代具體技術）。</t>
  </si>
  <si>
    <t>存保公司</t>
  </si>
  <si>
    <t>開發存保專屬 AI 應答助理，應用於內部知識問答（原文未明示 RAG）。</t>
  </si>
  <si>
    <t>使用 AI 工具製作內部文件等非機敏資料業務。</t>
  </si>
  <si>
    <t>使用 AI 工具進行工作流程自動化等非機敏資料業務。</t>
  </si>
  <si>
    <t>建置地端 AI 基礎架構及封閉式 AI 平台，應用於機敏資料業務（原文未詳列業務）。</t>
  </si>
  <si>
    <t>聯卡中心</t>
  </si>
  <si>
    <t>TRACE 詐欺偵測：依持卡人過去交易行為變數評分，於交易當下產生風險預測分數，協助發卡機構評估風險。</t>
  </si>
  <si>
    <t>AML 系統：執行未知風險異常交易態樣分析預測概念驗證，辨識監控人員尚未發現的異常態樣。</t>
  </si>
  <si>
    <t>保險業</t>
  </si>
  <si>
    <t>國泰人壽</t>
  </si>
  <si>
    <t>AI Coach：以 LLM 模擬虛擬客戶並扮演多元角色，供業務員與客服進行技巧對練。</t>
  </si>
  <si>
    <t>理賠 AI 系統：以 LLM 輔助理賠單據資訊萃取。</t>
  </si>
  <si>
    <t>理賠 AI 系統：以機器學習預測異常風險，輔助理賠人員決策（原文未限定為詐欺風險）。</t>
  </si>
  <si>
    <t>「泰好客 Cathay AIM」：以機器學習預測近期各類商品高購買力客戶，輔助業務員拜訪行銷。</t>
  </si>
  <si>
    <t>新光人壽</t>
  </si>
  <si>
    <t>理賠防詐模型。</t>
  </si>
  <si>
    <t>LLM 法扣系統（原文未進一步說明）。</t>
  </si>
  <si>
    <t>語音辨識應用。</t>
  </si>
  <si>
    <t>友邦人壽</t>
  </si>
  <si>
    <t>運用 Copilot 生成式 AI 協助文件撰寫、資料整理及程式開發，採人機協作以確保決策品質與合規性。</t>
  </si>
  <si>
    <t>台灣人壽</t>
  </si>
  <si>
    <t>高齡錄音質檢系統（原文未明示語音轉文字流程）。</t>
  </si>
  <si>
    <t>語音機器人電訪系統。</t>
  </si>
  <si>
    <t>富邦人壽</t>
  </si>
  <si>
    <t>AI 協助核保員與理賠員進行文件重點摘要。</t>
  </si>
  <si>
    <t>AI 輔助職業／手術代碼判斷。</t>
  </si>
  <si>
    <t>AI 輔助產出商品開發文件。</t>
  </si>
  <si>
    <t>AI 智能客服，提供客戶即時問答。</t>
  </si>
  <si>
    <t>AI 輔助 IT 人員程式碼編譯（原文未明示程式碼生成）。</t>
  </si>
  <si>
    <t>AI 應用於風險管理與法遵（原文未詳述具體功能）。</t>
  </si>
  <si>
    <t>元大人壽</t>
  </si>
  <si>
    <t>通路行為風險模型：預測業務員風險；原文載明約減少 74% 需進階審查資料量，並捕捉約 70% 異常業務員。</t>
  </si>
  <si>
    <t>理賠詐欺風險模型：預測理賠申請風險；原文載明約減少 96% 需進階審查資料量，並捕捉約 95% 疑似理賠詐欺案件。</t>
  </si>
  <si>
    <t>凱基人壽</t>
  </si>
  <si>
    <t>保險商品輔銷文件（如商品簡介）合規預審：進行適法性比對。</t>
  </si>
  <si>
    <t>保險商品輔銷文件合規預審：生成預審檢核報告。</t>
  </si>
  <si>
    <t>全球人壽</t>
  </si>
  <si>
    <t>與清大產學合作建置「AI 智能語音質檢」系統，全面檢視新契約電訪品質（原文未明示語音轉文字流程）。</t>
  </si>
  <si>
    <t>南山人壽</t>
  </si>
  <si>
    <t>AI 輔助核保流程（原文未詳述技術）。</t>
  </si>
  <si>
    <t>AI 輔助理賠流程（原文未詳述技術）。</t>
  </si>
  <si>
    <t>業務員 AI 智能對練（依角色對練用途判為生成式 AI）。</t>
  </si>
  <si>
    <t>法遵 AI 智能助理（原文未明示 RAG 或自主代理機制）。</t>
  </si>
  <si>
    <t>保誠人壽</t>
  </si>
  <si>
    <t>AI 核保：識別低風險客戶，結合簡化醫療問卷、交叉銷售及再次銷售以提升客戶體驗。</t>
  </si>
  <si>
    <t>科隆再保公司</t>
  </si>
  <si>
    <t>台灣分公司僅於內部作業使用 AI（原文未詳述場景）。</t>
  </si>
  <si>
    <t>中信產險</t>
  </si>
  <si>
    <t>投保文件智能辨識平台：以 AI OCR 結合電腦視覺與機器學習，自動辨識身分證件、行車執照與投保文件並擷取欄位，串接核保與核對機制。</t>
  </si>
  <si>
    <t>科法斯產險</t>
  </si>
  <si>
    <t>導入 Microsoft Copilot，支援文件撰寫、資料摘要及內部溝通，並應用於風險管理與合規作業。</t>
  </si>
  <si>
    <t>國泰產險</t>
  </si>
  <si>
    <t>「CarTech 智能車險加值服務」：結合車聯網數據、AI 風險預測、駕駛行為管理及顧問式損害防阻服務，以預防風險為核心。</t>
  </si>
  <si>
    <t>富邦產險</t>
  </si>
  <si>
    <t>語音自助服務：優化智能留單、保單查詢、智能補發及理賠進度查詢。</t>
  </si>
  <si>
    <t>新安東京產險</t>
  </si>
  <si>
    <t>以客戶風險模型輔助核保作業。</t>
  </si>
  <si>
    <t>兆豐產險</t>
  </si>
  <si>
    <t>機器人流程自動化（RPA）。</t>
  </si>
  <si>
    <t>富邦綜合保險代理人股份有限公司</t>
  </si>
  <si>
    <t>以大型語言模型產出過往通話摘要、總結客戶需求，協助業務同仁及客服人員快速掌握歷史互動與客戶想法。</t>
  </si>
  <si>
    <t>和安保險代理人股份有限公司</t>
  </si>
  <si>
    <t>推動「全員數位化」，導入 Gemini、Canva AI 等生成式工具製作會議資料、簡報與 DM。</t>
  </si>
  <si>
    <t>將 RPA 導入日常行政作業，減少重複、低價值作業。</t>
  </si>
  <si>
    <t>遠傳保險代理人股份有限公司</t>
  </si>
  <si>
    <t>以 AI 分析客戶資料庫，進行精準行銷。</t>
  </si>
  <si>
    <t>智匯保險經紀人股份有限公司</t>
  </si>
  <si>
    <t>保單健診（原文未交代比對機制）。</t>
  </si>
  <si>
    <t>錠嵂保險經紀人股份有限公司</t>
  </si>
  <si>
    <t>考照教練（原文未詳述技術）。</t>
  </si>
  <si>
    <t>公勝保險經紀人股份有限公司</t>
  </si>
  <si>
    <t>內部 KM 知識管理應用（原文未明示 RAG）。</t>
  </si>
  <si>
    <t>內部流程自動化。</t>
  </si>
  <si>
    <t>內部生成應用。</t>
  </si>
  <si>
    <t>子公司財富規劃建議模組。</t>
  </si>
  <si>
    <t>美商達信保險經紀人股份有限公司台灣分公司</t>
  </si>
  <si>
    <t>支援多國語言，提供答案理由與來源（如內部文件）；依文件來源問答用途推定為 RAG，原文未明示技術。</t>
  </si>
  <si>
    <t>永達保險經紀人股份有限公司</t>
  </si>
  <si>
    <t>機器人流程自動化：應用於內部行政作業流程，提升效率與生產力。</t>
  </si>
  <si>
    <t>財團法人汽車交通事故特別補償基金</t>
  </si>
  <si>
    <t>以生成式 AI 服務自動將會議錄音檔轉成文字。</t>
  </si>
  <si>
    <t>以生成式 AI 擷取會議重點摘要，並自動生成符合內部會議紀錄格式的電子檔。</t>
  </si>
  <si>
    <t>證券期貨業</t>
  </si>
  <si>
    <t>口袋證券</t>
  </si>
  <si>
    <t>導入 OpenAI 大型語言模型並結合 RAG，整理股票客觀公開資訊。</t>
  </si>
  <si>
    <t>以大型語言模型結合 RAG 提供智能客服，協助投資人取得公開資訊。</t>
  </si>
  <si>
    <t>大昌證券</t>
  </si>
  <si>
    <t>行銷內容生成。</t>
  </si>
  <si>
    <t>統一證券</t>
  </si>
  <si>
    <t>總公司部分人員導入 M365 Copilot，並舉辦黑客松競賽，改善內部作業流程與工作效率。</t>
  </si>
  <si>
    <t>凱基證券</t>
  </si>
  <si>
    <t>eKYC：於線上開戶及額度調整流程，以監督式機器學習分析結構化客戶資料進行風險推估；非生成式 AI，額度結果供參考並由人工最終審核。</t>
  </si>
  <si>
    <t>富邦證券</t>
  </si>
  <si>
    <t>AI 投資助理：解析市場動態並回答投資問題、快速摘要美股法說會重點，以及提供每日 AI 盤前資訊播報（原文未交代語音合成技術）。</t>
  </si>
  <si>
    <t>華南證券</t>
  </si>
  <si>
    <t>「AI 投資早報」：整合全球市場動態產出早報，遵循 AI 輔助、人工定稿，並經專業團隊深度審核。</t>
  </si>
  <si>
    <t>永豐金證券</t>
  </si>
  <si>
    <t>個股 AI 市場輿情分析及每日投資早報（原文未詳述輿情分析技術；依指定整合為一筆，歸類為生成式AI）。</t>
  </si>
  <si>
    <t>玉山證券</t>
  </si>
  <si>
    <t>ETF 智能投資策略互動平台：透過趣味問答與角色互動，即時生成個人化 ETF 投資組合建議。</t>
  </si>
  <si>
    <t>國泰證券</t>
  </si>
  <si>
    <t>「庫存管家」：以客戶持股為核心，透過 AI 提供個人化推播，協助掌握庫存狀況。</t>
  </si>
  <si>
    <t>德信證券</t>
  </si>
  <si>
    <t>財經知識內容教育（原文未詳述生成或問答技術）。</t>
  </si>
  <si>
    <t>台新證券</t>
  </si>
  <si>
    <t>群益期貨</t>
  </si>
  <si>
    <t>知識管理（原文未明示 RAG）。</t>
  </si>
  <si>
    <t>文件分析（原文未交代具體技術）。</t>
  </si>
  <si>
    <t>風險控管；配合資訊安全與內控制度，符合金融監理要求。</t>
  </si>
  <si>
    <t>統一期貨</t>
  </si>
  <si>
    <t>以 AI 自動整理資料、生成簡報及處理複雜文件，減少重複性作業、提升工作效率與品質，並透過人機協作加速工作流程（原文未詳述文件處理技術；依指定歸類為 M365 Copilot）。</t>
  </si>
  <si>
    <t>富邦期貨</t>
  </si>
  <si>
    <t>「富邦 AI PRO App」：內建 AI 投資助理，即時解析市場訊息並回答投資問題；快速彙整法說會重點；透過 AI 主播每日播報盤前焦點資訊（原文未交代語音合成技術）；並依個人偏好推送個股新聞事件、盤勢摘要與策略資訊。</t>
  </si>
  <si>
    <t>景順投信</t>
  </si>
  <si>
    <t>Copilot M365 結合 Teams、Outlook、Word、Excel 及 PowerPoint：產出會議紀錄與行動項目、摘要郵件與建議回覆、撰寫文件、分析數據及生成簡報。</t>
  </si>
  <si>
    <t>摩根投信</t>
  </si>
  <si>
    <t>內部影音生成，支援部門日常流程與專業工作。</t>
  </si>
  <si>
    <t>內部資訊分析整理。</t>
  </si>
  <si>
    <t>交易執行優化輔助。</t>
  </si>
  <si>
    <t>員工通用 AI 生產力輔助工具（原文未詳述功能，判斷為M365 Copilot）。</t>
  </si>
  <si>
    <t>瑞銀投信</t>
  </si>
  <si>
    <t>導入微軟 Copilot，協助產出文件草稿、簡報大綱與會議摘要；僅作為決策支援，最終決策由具資格人員審核確認。</t>
  </si>
  <si>
    <t>群益投信</t>
  </si>
  <si>
    <t>即時負面新聞自動化：爬取公開新聞內文，以 LLM 判別新聞中的嫌疑人名並自動建檔。</t>
  </si>
  <si>
    <t>聯博投信</t>
  </si>
  <si>
    <t>ABAI：透過單一 API 提供員工閉源與開源大型語言模型環境，支援 GPT、Gemini 等模型及內部投資、通路、營運需求。</t>
  </si>
  <si>
    <t>ABAI：可存取文件與資料並提供聊天查詢（依文件資料問答用途推定涉及 RAG，原文未明示技術）；以大型語言模型環境提供資料抽取，並提供文件比較、圖表生成及 Text-to-SQL 功能，以及透過安全 API 支援量化研究與開發團隊。</t>
  </si>
  <si>
    <t>復華投信</t>
  </si>
  <si>
    <t>AI OCR 表單辨識。</t>
  </si>
  <si>
    <t>野村投信</t>
  </si>
  <si>
    <t>依基金經理人決定的投資策略，輔助生成「四大投資流程」之投資分析報告，減輕文書負擔。</t>
  </si>
  <si>
    <t>東方匯理投信</t>
  </si>
  <si>
    <t>以集團 Alto Studio AI 進行文件資料匯總。</t>
  </si>
  <si>
    <t>以集團 Alto Studio AI 進行文件翻譯。</t>
  </si>
  <si>
    <t>富達投信</t>
  </si>
  <si>
    <t>導入 Microsoft Copilot，協助日常文件生成、會議重點整理、資料分析及郵件撰寫。</t>
  </si>
  <si>
    <t>路博邁投信</t>
  </si>
  <si>
    <t>僅運用內部聊天機器人支援行政處理與分析作業（非對客客服，原文未明示 RAG）。</t>
  </si>
  <si>
    <t>富蘭克林投顧</t>
  </si>
  <si>
    <t>以 AI 製作廣告素材，於符合作業程序下減少時間與人工成本。</t>
  </si>
  <si>
    <t>法盛投顧</t>
  </si>
  <si>
    <t>使用母公司 BPCE Group 開發部署的 AI 工具，僅支援台灣員工行政與日常作業，如文書撰寫、資料整理及會議紀錄，不用於客戶溝通。</t>
  </si>
  <si>
    <t>阿爾發投顧</t>
  </si>
  <si>
    <t>「AI 投資長（CIO）」：結合外部專業顧問團隊、專業理財顧問及 24H 智慧監控，提供策略配置、信託規劃與員工福儲等機構資產管理服務（原文未明示自主 AI Agent）。</t>
  </si>
  <si>
    <t>證券交易所</t>
  </si>
  <si>
    <t>以語音轉文字等 AI 技術提升市場監理作業效率。</t>
  </si>
  <si>
    <t>期貨交易所</t>
  </si>
  <si>
    <t>以機器學習異常偵測演算法，辨識疑似異常交易委託行為，輔助市場監理。</t>
  </si>
  <si>
    <t>臺灣中小企業銀行</t>
  </si>
  <si>
    <t>「AI 模型投資阻詐示警服務」：結合警政署 165 數據與機器學習，從受害者視角捕捉異常轉帳特徵（如異於日常頻率、小額測試），前端即時主動示警，模型精確率逾五成。</t>
  </si>
  <si>
    <t>「天眼識詐模型」：運用 AI 與深度學習分析帳戶交易頻率與金流特徵，即時發出警示輔助行員關懷提問，異常帳戶偵測率達七成。</t>
  </si>
  <si>
    <t>「元先生」雙腦智能客服：結合諮詢腦（FAQ）與查詢腦（NLU）之雙腦 AI，支援多意圖識別，回答精準度達 9 成以上。</t>
  </si>
  <si>
    <t>資訊單位導入 GitHub Copilot 協作代理人，協助工程師進行程式碼建議、弱點修補與單元測試生成。</t>
  </si>
  <si>
    <t>GAIA 2.0 智慧文檔處理（IDP）：以多代理（Multi-Agent）架構自動摘要聯貸合約與法規關鍵風險。</t>
  </si>
  <si>
    <t>「AI企業徵信平台」：運用 AI 於企業徵信與授信評估，自動辨識財力文件、驗證數據並產製報告，提升報告產製時效與風險辨識。</t>
  </si>
  <si>
    <t>「RICHIE 智慧推薦引擎」：於 Richart App 中透過 AI 分析客戶行為與交易紀錄，主動提供個人化金融服務與理財建議。</t>
  </si>
  <si>
    <t>大戶投 App 導入自主開發 AI 智能引擎與 RAG 技術，推出個人化智能庫存日報與情緒雷達，根據用戶持股盤前自動整理相關新聞與觀點。</t>
  </si>
  <si>
    <t>元大證券</t>
  </si>
  <si>
    <t>導入 AI 威脅辨識與自動化資安應變防禦系統，將資安防禦從被動防禦提升至主動預警。</t>
  </si>
  <si>
    <t>建置 AI 智能語音客服平台處理逾八成話務，並以語音分析進行放款行銷合規普查與異常通報。</t>
  </si>
  <si>
    <t>導入生成式 AI 病歷摘要縮短核保時間五成，並以 AI 推薦職業代碼處理逾百萬件保單。</t>
  </si>
  <si>
    <t>推出 GPT ATM 與智能防詐影像辨識防線，即時攔截後方窺視與異常操作並連線 165。</t>
  </si>
  <si>
    <t>部署分行嚮導、夢想導航、行動管家與投研專家四大場景之專屬 AI Agent 體系。</t>
  </si>
  <si>
    <t>推出 AI 業務員「科技阿龍」互動生成客製保單，並導入高齡錄音 AI 智能質檢合規系統。</t>
  </si>
  <si>
    <t>推出「AI Agent 智慧牧羊犬」專案，將 AI 代理人與 RPA 整合實現自動化異常主動監控與處置建議。</t>
  </si>
  <si>
    <t>凱基銀行</t>
  </si>
  <si>
    <t>全員開發逾 460 項 Copilot Agent 流程工具，並以「商銀小幫手艾拉」建立企業知識庫問答。</t>
  </si>
  <si>
    <t>導入「i Coach AI 智能對練」系統，透過 AI 模擬對談輔助業務新人考照與實戰銷售培訓。</t>
  </si>
  <si>
    <t>第一銀行</t>
  </si>
  <si>
    <t>打造法金業務「AO AI Agent」（Project 3A），自動研判產業脈動與客情商機提示。</t>
  </si>
  <si>
    <t>建置智能 AI 鑑價平台（整合 Claude LLM），將房地產鑑價與報告生成自數天縮短至數分鐘。</t>
  </si>
  <si>
    <t>導入「鷹眼識詐模型」即時辨識可疑異常帳戶，並參與金融大語言模型（FinLLM）主權 AI 研發。</t>
  </si>
  <si>
    <t>永豐銀行</t>
  </si>
  <si>
    <t>推出全台首創生成式 AI 臨櫃服務「iWish」，支援語音、文字與圖片自動生成交易表單，交易量突破 40 萬筆。</t>
  </si>
  <si>
    <t>於全台 ATM 服務區導入 AI 人臉辨識門禁防詐，並結合 AI 異常偵測模型即時攔阻可疑金流，預先控管率逾五成。</t>
  </si>
  <si>
    <t>啟動「AI 超人計畫」於逾 50 個部門由下而上落地 GenAI，並於大戶投與大戶豐 App 導入 GAI 客製持股解析。</t>
  </si>
  <si>
    <t>永豐投顧</t>
  </si>
  <si>
    <t>推出研究員高效助手「永豐智投」，運用 Multi-Agent（多代理人）系統架構跨源彙整素材並自動生成投研草稿。</t>
  </si>
  <si>
    <t>擴大自研「台新戰神（Ares）」AI 異常金流偵測模型全天候監控高風險帳戶，並與檢警簽署合作展開「戰神專案」聯防阻詐。</t>
  </si>
  <si>
    <t>於重點 ATM 導入 AI 臉部辨識與智慧遮蔽偵測技術，遇安全帽、口罩或墨鏡等刻意遮蔽五官行為時即時聲光警示。</t>
  </si>
  <si>
    <t>結合可信任聯絡人機制與大數據異常偵測，針對 60 歲以上高齡保戶推出「家族聯絡網服務」，防堵異常解約與貸款詐騙。</t>
  </si>
  <si>
    <t>合作金庫銀行</t>
  </si>
  <si>
    <t>攜手同業導入「AI 防詐模型聯合學習（Federated Learning）」，在不交換個資前提下使警示帳戶辨識精確率提升 67%。</t>
  </si>
  <si>
    <t>建置「AI 慧眼識詐平台」，結合雙模型回圈學習機制即時監控異常交易並連線 165 聯防攔阻車手提領。</t>
  </si>
  <si>
    <t>兆豐銀行</t>
  </si>
  <si>
    <t>於 ATM 導入 AI 臉部遮蔽與通話辨識影像防護主動攔截車手提領，並號召公股行庫組成聯盟研發車手辨識模型。</t>
  </si>
  <si>
    <t>國泰金控</t>
  </si>
  <si>
    <t>首度公開 Agentic AI「數位同事」：專案管理 Vanessa.ai、科技治理 Sherlock.ai 及法務合約初審 Lawrence.ai，推動 Agent First。</t>
  </si>
  <si>
    <t>國票綜合證券</t>
  </si>
  <si>
    <t>自主研發「國票任我贏」App，導入專利「申購易智抽」智慧條件自動比對與雲端智慧單，獲 2026 國家品牌玉山獎最佳產品類。</t>
  </si>
  <si>
    <t>PDF頁碼</t>
  </si>
  <si>
    <t>業別下拉選項</t>
  </si>
  <si>
    <t>業者下拉選項</t>
  </si>
  <si>
    <t>所屬金控下拉選項</t>
  </si>
  <si>
    <t>2–3</t>
  </si>
  <si>
    <t>3–4</t>
  </si>
  <si>
    <t>5–6</t>
  </si>
  <si>
    <t>最新蒐集</t>
  </si>
  <si>
    <t>推出智慧決策平台「AI PRO」App，整合 AI 分析師、法說會摘要與主題投資組合生成。</t>
    <phoneticPr fontId="2" type="noConversion"/>
  </si>
  <si>
    <t>場景描述只要提及「App」即歸入此類；亦可由使用者手動將場景類別指定為 App。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</si>
</sst>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1">
    <font>
      <sz val="12"/>
      <color theme="1"/>
      <name val="新細明體"/>
      <family val="2"/>
      <charset val="136"/>
      <scheme val="minor"/>
    </font>
    <font>
      <sz val="11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  <font>
      <b/>
      <sz val="19"/>
      <color rgb="FFFFFFFF"/>
      <name val="Microsoft JhengHei"/>
      <family val="2"/>
      <charset val="136"/>
    </font>
    <font>
      <sz val="11"/>
      <color rgb="FF595959"/>
      <name val="Microsoft JhengHei"/>
      <family val="2"/>
      <charset val="136"/>
    </font>
    <font>
      <b/>
      <sz val="11"/>
      <color theme="1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2"/>
      <color rgb="FFFFFFFF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16"/>
      <color rgb="FFFFFFFF"/>
      <name val="新細明體"/>
      <family val="2"/>
      <charset val="136"/>
      <scheme val="minor"/>
    </font>
    <font>
      <b/>
      <sz val="12"/>
      <color rgb="FFFFFFFF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6EEF5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horizontal="right" vertical="top" wrapText="1"/>
    </xf>
    <xf numFmtId="1" fontId="5" fillId="3" borderId="0" xfId="0" applyNumberFormat="1" applyFont="1" applyFill="1" applyAlignment="1">
      <alignment horizontal="right" vertical="top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right" vertical="top"/>
    </xf>
    <xf numFmtId="0" fontId="1" fillId="4" borderId="0" xfId="0" applyFont="1" applyFill="1" applyAlignment="1">
      <alignment vertical="top" wrapText="1"/>
    </xf>
    <xf numFmtId="1" fontId="1" fillId="4" borderId="0" xfId="0" applyNumberFormat="1" applyFont="1" applyFill="1" applyAlignment="1">
      <alignment horizontal="right" vertical="top" wrapText="1"/>
    </xf>
    <xf numFmtId="0" fontId="0" fillId="0" borderId="0" xfId="0" applyAlignment="1"/>
    <xf numFmtId="0" fontId="7" fillId="2" borderId="0" xfId="0" applyFont="1" applyFill="1">
      <alignment vertical="center"/>
    </xf>
    <xf numFmtId="0" fontId="7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1" fillId="0" borderId="0" xfId="0" applyFont="1">
      <alignment vertical="center"/>
    </xf>
    <xf numFmtId="0" fontId="6" fillId="2" borderId="0" xfId="0" applyFont="1" applyFill="1">
      <alignment vertical="center"/>
    </xf>
    <xf numFmtId="49" fontId="1" fillId="0" borderId="0" xfId="0" applyNumberFormat="1" applyFont="1" applyAlignment="1">
      <alignment horizontal="left" vertical="top" wrapText="1"/>
    </xf>
    <xf numFmtId="3" fontId="1" fillId="0" borderId="0" xfId="0" applyNumberFormat="1" applyFont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0" fontId="1" fillId="0" borderId="0" xfId="0" applyFont="1" applyAlignment="1">
      <alignment vertical="center" wrapText="1"/>
    </xf>
    <xf numFmtId="0" fontId="10" fillId="2" borderId="0" xfId="0" applyFont="1" applyFill="1">
      <alignment vertical="center"/>
    </xf>
    <xf numFmtId="0" fontId="6" fillId="2" borderId="0" xfId="0" applyFont="1" applyFill="1" applyAlignment="1">
      <alignment vertical="center" wrapText="1"/>
    </xf>
    <xf numFmtId="176" fontId="1" fillId="0" borderId="0" xfId="0" applyNumberFormat="1" applyFont="1" applyAlignment="1">
      <alignment horizontal="left" vertical="top" wrapText="1"/>
    </xf>
    <xf numFmtId="0" fontId="5" fillId="5" borderId="0" xfId="0" applyFont="1" applyFill="1" applyAlignment="1">
      <alignment vertical="center" wrapText="1"/>
    </xf>
    <xf numFmtId="0" fontId="0" fillId="0" borderId="0" xfId="0" applyAlignment="1"/>
    <xf numFmtId="0" fontId="3" fillId="2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5" fillId="3" borderId="0" xfId="0" applyFont="1" applyFill="1" applyAlignment="1">
      <alignment vertical="top"/>
    </xf>
    <xf numFmtId="0" fontId="9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2" borderId="0" xfId="0" applyFont="1" applyFill="1" applyAlignment="1">
      <alignment vertical="top"/>
    </xf>
    <xf numFmtId="0" fontId="4" fillId="0" borderId="0" xfId="0" applyFont="1" applyAlignment="1">
      <alignment vertical="top"/>
    </xf>
  </cellXfs>
  <cellStyles count="1">
    <cellStyle name="一般" xfId="0" builtinId="0"/>
  </cellStyles>
  <dxfs count="13"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numFmt numFmtId="1" formatCode="0"/>
      <alignment horizontal="right" vertical="top"/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numFmt numFmtId="30" formatCode="@"/>
      <alignment horizontal="right" vertical="top"/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alignment horizontal="general" vertical="top" wrapText="1"/>
    </dxf>
    <dxf>
      <font>
        <b/>
        <color rgb="FFFFFFFF"/>
      </font>
      <fill>
        <patternFill patternType="solid">
          <fgColor indexed="64"/>
          <bgColor rgb="FF17365D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numFmt numFmtId="30" formatCode="@"/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JhengHei"/>
        <family val="2"/>
        <charset val="136"/>
      </font>
      <alignment horizontal="left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Microsoft JhengHei"/>
        <family val="2"/>
        <charset val="136"/>
      </font>
      <fill>
        <patternFill patternType="solid">
          <fgColor indexed="64"/>
          <bgColor rgb="FF17365D"/>
        </patternFill>
      </fill>
      <alignment horizontal="left"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金融業AI場景明細" displayName="金融業AI場景明細" ref="A1:F168" totalsRowShown="0" headerRowDxfId="12" dataDxfId="11">
  <autoFilter ref="A1:F168" xr:uid="{00000000-0009-0000-0100-000001000000}"/>
  <tableColumns count="6">
    <tableColumn id="1" xr3:uid="{00000000-0010-0000-0000-000001000000}" name="業別" dataDxfId="10"/>
    <tableColumn id="2" xr3:uid="{00000000-0010-0000-0000-000002000000}" name="業者" dataDxfId="9"/>
    <tableColumn id="5" xr3:uid="{00000000-0010-0000-0000-000005000000}" name="所屬金控" dataDxfId="8"/>
    <tableColumn id="3" xr3:uid="{00000000-0010-0000-0000-000003000000}" name="場景" dataDxfId="7"/>
    <tableColumn id="4" xr3:uid="{00000000-0010-0000-0000-000004000000}" name="類別" dataDxfId="6"/>
    <tableColumn id="7" xr3:uid="{00000000-0010-0000-0000-000007000000}" name="更新日期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業者來源索引" displayName="業者來源索引" ref="A1:D91" totalsRowShown="0" headerRowDxfId="4">
  <autoFilter ref="A1:D91" xr:uid="{00000000-0009-0000-0100-000002000000}"/>
  <tableColumns count="4">
    <tableColumn id="1" xr3:uid="{00000000-0010-0000-0100-000001000000}" name="業別" dataDxfId="3"/>
    <tableColumn id="2" xr3:uid="{00000000-0010-0000-0100-000002000000}" name="業者" dataDxfId="2"/>
    <tableColumn id="3" xr3:uid="{00000000-0010-0000-0100-000003000000}" name="PDF頁碼" dataDxfId="1"/>
    <tableColumn id="4" xr3:uid="{00000000-0010-0000-0100-000004000000}" name="場景筆數" dataDxfId="0">
      <calculatedColumnFormula>COUNTIFS(AI應用場景!A:A,A2,AI應用場景!B:B,B2)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zoomScale="130" zoomScaleNormal="130"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min="1" max="1" width="11.1640625" style="13" bestFit="1" customWidth="1"/>
    <col min="2" max="2" width="13.83203125" style="13" customWidth="1"/>
    <col min="3" max="3" width="11.1640625" style="13" bestFit="1" customWidth="1"/>
    <col min="4" max="4" width="90" style="13" customWidth="1"/>
    <col min="5" max="5" width="14.1640625" style="13" bestFit="1" customWidth="1"/>
    <col min="6" max="6" width="14.1640625" style="13" customWidth="1"/>
  </cols>
  <sheetData>
    <row r="1" spans="1:6" ht="18" customHeight="1">
      <c r="A1" s="8" t="s">
        <v>96</v>
      </c>
      <c r="B1" s="8" t="s">
        <v>97</v>
      </c>
      <c r="C1" s="8" t="s">
        <v>10</v>
      </c>
      <c r="D1" s="8" t="s">
        <v>98</v>
      </c>
      <c r="E1" s="8" t="s">
        <v>4</v>
      </c>
      <c r="F1" s="8" t="s">
        <v>99</v>
      </c>
    </row>
    <row r="2" spans="1:6" ht="18" customHeight="1">
      <c r="A2" s="3" t="s">
        <v>100</v>
      </c>
      <c r="B2" s="3" t="s">
        <v>101</v>
      </c>
      <c r="C2" s="20" t="s">
        <v>20</v>
      </c>
      <c r="D2" s="3" t="s">
        <v>102</v>
      </c>
      <c r="E2" s="3" t="s">
        <v>27</v>
      </c>
      <c r="F2" s="26">
        <v>46310</v>
      </c>
    </row>
    <row r="3" spans="1:6" ht="18" customHeight="1">
      <c r="A3" s="3" t="s">
        <v>100</v>
      </c>
      <c r="B3" s="3" t="s">
        <v>101</v>
      </c>
      <c r="C3" s="20" t="s">
        <v>20</v>
      </c>
      <c r="D3" s="3" t="s">
        <v>103</v>
      </c>
      <c r="E3" s="3" t="s">
        <v>27</v>
      </c>
      <c r="F3" s="26">
        <v>46310</v>
      </c>
    </row>
    <row r="4" spans="1:6" ht="18" customHeight="1">
      <c r="A4" s="3" t="s">
        <v>100</v>
      </c>
      <c r="B4" s="3" t="s">
        <v>101</v>
      </c>
      <c r="C4" s="20" t="s">
        <v>20</v>
      </c>
      <c r="D4" s="3" t="s">
        <v>104</v>
      </c>
      <c r="E4" s="3" t="s">
        <v>79</v>
      </c>
      <c r="F4" s="26">
        <v>46310</v>
      </c>
    </row>
    <row r="5" spans="1:6" ht="30" customHeight="1">
      <c r="A5" s="3" t="s">
        <v>100</v>
      </c>
      <c r="B5" s="3" t="s">
        <v>105</v>
      </c>
      <c r="C5" s="3" t="s">
        <v>84</v>
      </c>
      <c r="D5" s="3" t="s">
        <v>106</v>
      </c>
      <c r="E5" s="3" t="s">
        <v>39</v>
      </c>
      <c r="F5" s="26">
        <v>46310</v>
      </c>
    </row>
    <row r="6" spans="1:6" ht="30" customHeight="1">
      <c r="A6" s="3" t="s">
        <v>100</v>
      </c>
      <c r="B6" s="3" t="s">
        <v>107</v>
      </c>
      <c r="C6" s="20" t="s">
        <v>54</v>
      </c>
      <c r="D6" s="3" t="s">
        <v>108</v>
      </c>
      <c r="E6" s="3" t="s">
        <v>33</v>
      </c>
      <c r="F6" s="26">
        <v>46310</v>
      </c>
    </row>
    <row r="7" spans="1:6" ht="18" customHeight="1">
      <c r="A7" s="3" t="s">
        <v>100</v>
      </c>
      <c r="B7" s="3" t="s">
        <v>109</v>
      </c>
      <c r="C7" s="3" t="s">
        <v>87</v>
      </c>
      <c r="D7" s="3" t="s">
        <v>110</v>
      </c>
      <c r="E7" s="3" t="s">
        <v>55</v>
      </c>
      <c r="F7" s="26">
        <v>46310</v>
      </c>
    </row>
    <row r="8" spans="1:6" ht="18" customHeight="1">
      <c r="A8" s="3" t="s">
        <v>100</v>
      </c>
      <c r="B8" s="3" t="s">
        <v>111</v>
      </c>
      <c r="C8" s="3" t="s">
        <v>87</v>
      </c>
      <c r="D8" s="3" t="s">
        <v>112</v>
      </c>
      <c r="E8" s="3" t="s">
        <v>33</v>
      </c>
      <c r="F8" s="26">
        <v>46310</v>
      </c>
    </row>
    <row r="9" spans="1:6" ht="18" customHeight="1">
      <c r="A9" s="3" t="s">
        <v>100</v>
      </c>
      <c r="B9" s="3" t="s">
        <v>113</v>
      </c>
      <c r="C9" s="20" t="s">
        <v>49</v>
      </c>
      <c r="D9" s="3" t="s">
        <v>114</v>
      </c>
      <c r="E9" s="3" t="s">
        <v>33</v>
      </c>
      <c r="F9" s="26">
        <v>46310</v>
      </c>
    </row>
    <row r="10" spans="1:6" ht="18" customHeight="1">
      <c r="A10" s="3" t="s">
        <v>100</v>
      </c>
      <c r="B10" s="3" t="s">
        <v>113</v>
      </c>
      <c r="C10" s="20" t="s">
        <v>49</v>
      </c>
      <c r="D10" s="3" t="s">
        <v>115</v>
      </c>
      <c r="E10" s="3" t="s">
        <v>16</v>
      </c>
      <c r="F10" s="26">
        <v>46310</v>
      </c>
    </row>
    <row r="11" spans="1:6" ht="18" customHeight="1">
      <c r="A11" s="3" t="s">
        <v>100</v>
      </c>
      <c r="B11" s="3" t="s">
        <v>113</v>
      </c>
      <c r="C11" s="20" t="s">
        <v>49</v>
      </c>
      <c r="D11" s="3" t="s">
        <v>116</v>
      </c>
      <c r="E11" s="3" t="s">
        <v>11</v>
      </c>
      <c r="F11" s="26">
        <v>46310</v>
      </c>
    </row>
    <row r="12" spans="1:6" ht="30" customHeight="1">
      <c r="A12" s="3" t="s">
        <v>100</v>
      </c>
      <c r="B12" s="3" t="s">
        <v>117</v>
      </c>
      <c r="C12" s="3" t="s">
        <v>87</v>
      </c>
      <c r="D12" s="3" t="s">
        <v>118</v>
      </c>
      <c r="E12" s="3" t="s">
        <v>33</v>
      </c>
      <c r="F12" s="26">
        <v>46310</v>
      </c>
    </row>
    <row r="13" spans="1:6" ht="18" customHeight="1">
      <c r="A13" s="3" t="s">
        <v>100</v>
      </c>
      <c r="B13" s="3" t="s">
        <v>119</v>
      </c>
      <c r="C13" s="3" t="s">
        <v>87</v>
      </c>
      <c r="D13" s="3" t="s">
        <v>120</v>
      </c>
      <c r="E13" s="3" t="s">
        <v>55</v>
      </c>
      <c r="F13" s="26">
        <v>46310</v>
      </c>
    </row>
    <row r="14" spans="1:6" ht="18" customHeight="1">
      <c r="A14" s="3" t="s">
        <v>100</v>
      </c>
      <c r="B14" s="3" t="s">
        <v>121</v>
      </c>
      <c r="C14" s="3" t="s">
        <v>87</v>
      </c>
      <c r="D14" s="3" t="s">
        <v>122</v>
      </c>
      <c r="E14" s="3" t="s">
        <v>11</v>
      </c>
      <c r="F14" s="26">
        <v>46310</v>
      </c>
    </row>
    <row r="15" spans="1:6" ht="18" customHeight="1">
      <c r="A15" s="3" t="s">
        <v>100</v>
      </c>
      <c r="B15" s="3" t="s">
        <v>123</v>
      </c>
      <c r="C15" s="20" t="s">
        <v>69</v>
      </c>
      <c r="D15" s="3" t="s">
        <v>124</v>
      </c>
      <c r="E15" s="3" t="s">
        <v>11</v>
      </c>
      <c r="F15" s="26">
        <v>46310</v>
      </c>
    </row>
    <row r="16" spans="1:6" ht="18" customHeight="1">
      <c r="A16" s="3" t="s">
        <v>100</v>
      </c>
      <c r="B16" s="3" t="s">
        <v>123</v>
      </c>
      <c r="C16" s="20" t="s">
        <v>69</v>
      </c>
      <c r="D16" s="3" t="s">
        <v>125</v>
      </c>
      <c r="E16" s="3" t="s">
        <v>33</v>
      </c>
      <c r="F16" s="26">
        <v>46310</v>
      </c>
    </row>
    <row r="17" spans="1:6" ht="18" customHeight="1">
      <c r="A17" s="3" t="s">
        <v>100</v>
      </c>
      <c r="B17" s="3" t="s">
        <v>123</v>
      </c>
      <c r="C17" s="20" t="s">
        <v>69</v>
      </c>
      <c r="D17" s="3" t="s">
        <v>126</v>
      </c>
      <c r="E17" s="3" t="s">
        <v>79</v>
      </c>
      <c r="F17" s="26">
        <v>46310</v>
      </c>
    </row>
    <row r="18" spans="1:6" ht="18" customHeight="1">
      <c r="A18" s="3" t="s">
        <v>100</v>
      </c>
      <c r="B18" s="3" t="s">
        <v>123</v>
      </c>
      <c r="C18" s="20" t="s">
        <v>69</v>
      </c>
      <c r="D18" s="3" t="s">
        <v>127</v>
      </c>
      <c r="E18" s="3" t="s">
        <v>16</v>
      </c>
      <c r="F18" s="26">
        <v>46310</v>
      </c>
    </row>
    <row r="19" spans="1:6" ht="18" customHeight="1">
      <c r="A19" s="3" t="s">
        <v>100</v>
      </c>
      <c r="B19" s="3" t="s">
        <v>123</v>
      </c>
      <c r="C19" s="20" t="s">
        <v>69</v>
      </c>
      <c r="D19" s="3" t="s">
        <v>128</v>
      </c>
      <c r="E19" s="3" t="s">
        <v>44</v>
      </c>
      <c r="F19" s="26">
        <v>46310</v>
      </c>
    </row>
    <row r="20" spans="1:6" ht="30" customHeight="1">
      <c r="A20" s="3" t="s">
        <v>100</v>
      </c>
      <c r="B20" s="3" t="s">
        <v>129</v>
      </c>
      <c r="C20" s="3" t="s">
        <v>87</v>
      </c>
      <c r="D20" s="3" t="s">
        <v>130</v>
      </c>
      <c r="E20" s="3" t="s">
        <v>11</v>
      </c>
      <c r="F20" s="26">
        <v>46310</v>
      </c>
    </row>
    <row r="21" spans="1:6" ht="30" customHeight="1">
      <c r="A21" s="3" t="s">
        <v>100</v>
      </c>
      <c r="B21" s="3" t="s">
        <v>131</v>
      </c>
      <c r="C21" s="3" t="s">
        <v>84</v>
      </c>
      <c r="D21" s="3" t="s">
        <v>132</v>
      </c>
      <c r="E21" s="3" t="s">
        <v>39</v>
      </c>
      <c r="F21" s="26">
        <v>46310</v>
      </c>
    </row>
    <row r="22" spans="1:6" ht="30" customHeight="1">
      <c r="A22" s="3" t="s">
        <v>100</v>
      </c>
      <c r="B22" s="3" t="s">
        <v>133</v>
      </c>
      <c r="C22" s="20" t="s">
        <v>54</v>
      </c>
      <c r="D22" s="3" t="s">
        <v>134</v>
      </c>
      <c r="E22" s="3" t="s">
        <v>65</v>
      </c>
      <c r="F22" s="26">
        <v>46310</v>
      </c>
    </row>
    <row r="23" spans="1:6" ht="18" customHeight="1">
      <c r="A23" s="3" t="s">
        <v>100</v>
      </c>
      <c r="B23" s="3" t="s">
        <v>135</v>
      </c>
      <c r="C23" s="20" t="s">
        <v>15</v>
      </c>
      <c r="D23" s="3" t="s">
        <v>136</v>
      </c>
      <c r="E23" s="3" t="s">
        <v>33</v>
      </c>
      <c r="F23" s="26">
        <v>46310</v>
      </c>
    </row>
    <row r="24" spans="1:6" ht="30" customHeight="1">
      <c r="A24" s="3" t="s">
        <v>100</v>
      </c>
      <c r="B24" s="3" t="s">
        <v>137</v>
      </c>
      <c r="C24" s="20" t="s">
        <v>26</v>
      </c>
      <c r="D24" s="3" t="s">
        <v>138</v>
      </c>
      <c r="E24" s="3" t="s">
        <v>11</v>
      </c>
      <c r="F24" s="26">
        <v>46310</v>
      </c>
    </row>
    <row r="25" spans="1:6" ht="18" customHeight="1">
      <c r="A25" s="3" t="s">
        <v>100</v>
      </c>
      <c r="B25" s="3" t="s">
        <v>137</v>
      </c>
      <c r="C25" s="20" t="s">
        <v>26</v>
      </c>
      <c r="D25" s="3" t="s">
        <v>139</v>
      </c>
      <c r="E25" s="3" t="s">
        <v>55</v>
      </c>
      <c r="F25" s="26">
        <v>46310</v>
      </c>
    </row>
    <row r="26" spans="1:6" ht="18" customHeight="1">
      <c r="A26" s="3" t="s">
        <v>100</v>
      </c>
      <c r="B26" s="3" t="s">
        <v>140</v>
      </c>
      <c r="C26" s="3" t="s">
        <v>87</v>
      </c>
      <c r="D26" s="3" t="s">
        <v>141</v>
      </c>
      <c r="E26" s="3" t="s">
        <v>21</v>
      </c>
      <c r="F26" s="26">
        <v>46310</v>
      </c>
    </row>
    <row r="27" spans="1:6" ht="30" customHeight="1">
      <c r="A27" s="3" t="s">
        <v>100</v>
      </c>
      <c r="B27" s="3" t="s">
        <v>142</v>
      </c>
      <c r="C27" s="3" t="s">
        <v>87</v>
      </c>
      <c r="D27" s="3" t="s">
        <v>143</v>
      </c>
      <c r="E27" s="3" t="s">
        <v>16</v>
      </c>
      <c r="F27" s="26">
        <v>46310</v>
      </c>
    </row>
    <row r="28" spans="1:6" ht="18" customHeight="1">
      <c r="A28" s="3" t="s">
        <v>100</v>
      </c>
      <c r="B28" s="3" t="s">
        <v>144</v>
      </c>
      <c r="C28" s="20" t="s">
        <v>32</v>
      </c>
      <c r="D28" s="3" t="s">
        <v>145</v>
      </c>
      <c r="E28" s="3" t="s">
        <v>55</v>
      </c>
      <c r="F28" s="26">
        <v>46310</v>
      </c>
    </row>
    <row r="29" spans="1:6" ht="18" customHeight="1">
      <c r="A29" s="3" t="s">
        <v>100</v>
      </c>
      <c r="B29" s="3" t="s">
        <v>144</v>
      </c>
      <c r="C29" s="20" t="s">
        <v>32</v>
      </c>
      <c r="D29" s="3" t="s">
        <v>146</v>
      </c>
      <c r="E29" s="3" t="s">
        <v>79</v>
      </c>
      <c r="F29" s="26">
        <v>46310</v>
      </c>
    </row>
    <row r="30" spans="1:6" ht="18" customHeight="1">
      <c r="A30" s="3" t="s">
        <v>100</v>
      </c>
      <c r="B30" s="3" t="s">
        <v>144</v>
      </c>
      <c r="C30" s="20" t="s">
        <v>32</v>
      </c>
      <c r="D30" s="3" t="s">
        <v>147</v>
      </c>
      <c r="E30" s="3" t="s">
        <v>33</v>
      </c>
      <c r="F30" s="26">
        <v>46310</v>
      </c>
    </row>
    <row r="31" spans="1:6" ht="18" customHeight="1">
      <c r="A31" s="3" t="s">
        <v>100</v>
      </c>
      <c r="B31" s="3" t="s">
        <v>148</v>
      </c>
      <c r="C31" s="20" t="s">
        <v>20</v>
      </c>
      <c r="D31" s="3" t="s">
        <v>149</v>
      </c>
      <c r="E31" s="3" t="s">
        <v>70</v>
      </c>
      <c r="F31" s="26">
        <v>46310</v>
      </c>
    </row>
    <row r="32" spans="1:6" ht="18" customHeight="1">
      <c r="A32" s="3" t="s">
        <v>100</v>
      </c>
      <c r="B32" s="3" t="s">
        <v>148</v>
      </c>
      <c r="C32" s="20" t="s">
        <v>20</v>
      </c>
      <c r="D32" s="3" t="s">
        <v>150</v>
      </c>
      <c r="E32" s="3" t="s">
        <v>70</v>
      </c>
      <c r="F32" s="26">
        <v>46310</v>
      </c>
    </row>
    <row r="33" spans="1:6" ht="18" customHeight="1">
      <c r="A33" s="3" t="s">
        <v>100</v>
      </c>
      <c r="B33" s="3" t="s">
        <v>148</v>
      </c>
      <c r="C33" s="20" t="s">
        <v>20</v>
      </c>
      <c r="D33" s="3" t="s">
        <v>151</v>
      </c>
      <c r="E33" s="3" t="s">
        <v>70</v>
      </c>
      <c r="F33" s="26">
        <v>46310</v>
      </c>
    </row>
    <row r="34" spans="1:6" ht="18" customHeight="1">
      <c r="A34" s="3" t="s">
        <v>100</v>
      </c>
      <c r="B34" s="3" t="s">
        <v>148</v>
      </c>
      <c r="C34" s="20" t="s">
        <v>20</v>
      </c>
      <c r="D34" s="3" t="s">
        <v>152</v>
      </c>
      <c r="E34" s="3" t="s">
        <v>70</v>
      </c>
      <c r="F34" s="26">
        <v>46310</v>
      </c>
    </row>
    <row r="35" spans="1:6" ht="18" customHeight="1">
      <c r="A35" s="3" t="s">
        <v>100</v>
      </c>
      <c r="B35" s="3" t="s">
        <v>148</v>
      </c>
      <c r="C35" s="20" t="s">
        <v>20</v>
      </c>
      <c r="D35" s="3" t="s">
        <v>153</v>
      </c>
      <c r="E35" s="3" t="s">
        <v>33</v>
      </c>
      <c r="F35" s="26">
        <v>46310</v>
      </c>
    </row>
    <row r="36" spans="1:6" ht="18" customHeight="1">
      <c r="A36" s="3" t="s">
        <v>100</v>
      </c>
      <c r="B36" s="3" t="s">
        <v>154</v>
      </c>
      <c r="C36" s="3" t="s">
        <v>87</v>
      </c>
      <c r="D36" s="3" t="s">
        <v>155</v>
      </c>
      <c r="E36" s="3" t="s">
        <v>33</v>
      </c>
      <c r="F36" s="26">
        <v>46310</v>
      </c>
    </row>
    <row r="37" spans="1:6" ht="18" customHeight="1">
      <c r="A37" s="3" t="s">
        <v>100</v>
      </c>
      <c r="B37" s="3" t="s">
        <v>156</v>
      </c>
      <c r="C37" s="3" t="s">
        <v>87</v>
      </c>
      <c r="D37" s="3" t="s">
        <v>157</v>
      </c>
      <c r="E37" s="3" t="s">
        <v>60</v>
      </c>
      <c r="F37" s="26">
        <v>46310</v>
      </c>
    </row>
    <row r="38" spans="1:6" ht="18" customHeight="1">
      <c r="A38" s="3" t="s">
        <v>100</v>
      </c>
      <c r="B38" s="3" t="s">
        <v>158</v>
      </c>
      <c r="C38" s="3" t="s">
        <v>87</v>
      </c>
      <c r="D38" s="3" t="s">
        <v>159</v>
      </c>
      <c r="E38" s="3" t="s">
        <v>60</v>
      </c>
      <c r="F38" s="26">
        <v>46310</v>
      </c>
    </row>
    <row r="39" spans="1:6" ht="18" customHeight="1">
      <c r="A39" s="3" t="s">
        <v>100</v>
      </c>
      <c r="B39" s="3" t="s">
        <v>158</v>
      </c>
      <c r="C39" s="3" t="s">
        <v>87</v>
      </c>
      <c r="D39" s="3" t="s">
        <v>160</v>
      </c>
      <c r="E39" s="3" t="s">
        <v>21</v>
      </c>
      <c r="F39" s="26">
        <v>46310</v>
      </c>
    </row>
    <row r="40" spans="1:6" ht="18" customHeight="1">
      <c r="A40" s="3" t="s">
        <v>100</v>
      </c>
      <c r="B40" s="3" t="s">
        <v>161</v>
      </c>
      <c r="C40" s="3" t="s">
        <v>87</v>
      </c>
      <c r="D40" s="3" t="s">
        <v>162</v>
      </c>
      <c r="E40" s="3" t="s">
        <v>79</v>
      </c>
      <c r="F40" s="26">
        <v>46310</v>
      </c>
    </row>
    <row r="41" spans="1:6" ht="18" customHeight="1">
      <c r="A41" s="3" t="s">
        <v>100</v>
      </c>
      <c r="B41" s="3" t="s">
        <v>163</v>
      </c>
      <c r="C41" s="3" t="s">
        <v>87</v>
      </c>
      <c r="D41" s="3" t="s">
        <v>164</v>
      </c>
      <c r="E41" s="3" t="s">
        <v>11</v>
      </c>
      <c r="F41" s="26">
        <v>46310</v>
      </c>
    </row>
    <row r="42" spans="1:6" ht="18" customHeight="1">
      <c r="A42" s="3" t="s">
        <v>100</v>
      </c>
      <c r="B42" s="3" t="s">
        <v>163</v>
      </c>
      <c r="C42" s="3" t="s">
        <v>87</v>
      </c>
      <c r="D42" s="3" t="s">
        <v>165</v>
      </c>
      <c r="E42" s="3" t="s">
        <v>21</v>
      </c>
      <c r="F42" s="26">
        <v>46310</v>
      </c>
    </row>
    <row r="43" spans="1:6" ht="18" customHeight="1">
      <c r="A43" s="3" t="s">
        <v>100</v>
      </c>
      <c r="B43" s="3" t="s">
        <v>163</v>
      </c>
      <c r="C43" s="3" t="s">
        <v>87</v>
      </c>
      <c r="D43" s="3" t="s">
        <v>166</v>
      </c>
      <c r="E43" s="3" t="s">
        <v>65</v>
      </c>
      <c r="F43" s="26">
        <v>46310</v>
      </c>
    </row>
    <row r="44" spans="1:6" ht="18" customHeight="1">
      <c r="A44" s="3" t="s">
        <v>100</v>
      </c>
      <c r="B44" s="3" t="s">
        <v>163</v>
      </c>
      <c r="C44" s="3" t="s">
        <v>87</v>
      </c>
      <c r="D44" s="3" t="s">
        <v>167</v>
      </c>
      <c r="E44" s="3" t="s">
        <v>79</v>
      </c>
      <c r="F44" s="26">
        <v>46310</v>
      </c>
    </row>
    <row r="45" spans="1:6" ht="30" customHeight="1">
      <c r="A45" s="3" t="s">
        <v>100</v>
      </c>
      <c r="B45" s="3" t="s">
        <v>168</v>
      </c>
      <c r="C45" s="3" t="s">
        <v>87</v>
      </c>
      <c r="D45" s="3" t="s">
        <v>169</v>
      </c>
      <c r="E45" s="3" t="s">
        <v>33</v>
      </c>
      <c r="F45" s="26">
        <v>46310</v>
      </c>
    </row>
    <row r="46" spans="1:6" ht="18" customHeight="1">
      <c r="A46" s="3" t="s">
        <v>100</v>
      </c>
      <c r="B46" s="3" t="s">
        <v>168</v>
      </c>
      <c r="C46" s="3" t="s">
        <v>87</v>
      </c>
      <c r="D46" s="3" t="s">
        <v>170</v>
      </c>
      <c r="E46" s="3" t="s">
        <v>79</v>
      </c>
      <c r="F46" s="26">
        <v>46310</v>
      </c>
    </row>
    <row r="47" spans="1:6" ht="18" customHeight="1">
      <c r="A47" s="3" t="s">
        <v>171</v>
      </c>
      <c r="B47" s="3" t="s">
        <v>172</v>
      </c>
      <c r="C47" s="20" t="s">
        <v>26</v>
      </c>
      <c r="D47" s="3" t="s">
        <v>173</v>
      </c>
      <c r="E47" s="3" t="s">
        <v>21</v>
      </c>
      <c r="F47" s="26">
        <v>46310</v>
      </c>
    </row>
    <row r="48" spans="1:6" ht="18" customHeight="1">
      <c r="A48" s="3" t="s">
        <v>171</v>
      </c>
      <c r="B48" s="3" t="s">
        <v>172</v>
      </c>
      <c r="C48" s="20" t="s">
        <v>26</v>
      </c>
      <c r="D48" s="3" t="s">
        <v>174</v>
      </c>
      <c r="E48" s="3" t="s">
        <v>21</v>
      </c>
      <c r="F48" s="26">
        <v>46310</v>
      </c>
    </row>
    <row r="49" spans="1:6" ht="18" customHeight="1">
      <c r="A49" s="3" t="s">
        <v>171</v>
      </c>
      <c r="B49" s="3" t="s">
        <v>172</v>
      </c>
      <c r="C49" s="20" t="s">
        <v>26</v>
      </c>
      <c r="D49" s="3" t="s">
        <v>175</v>
      </c>
      <c r="E49" s="3" t="s">
        <v>79</v>
      </c>
      <c r="F49" s="26">
        <v>46310</v>
      </c>
    </row>
    <row r="50" spans="1:6" ht="18" customHeight="1">
      <c r="A50" s="3" t="s">
        <v>171</v>
      </c>
      <c r="B50" s="3" t="s">
        <v>172</v>
      </c>
      <c r="C50" s="20" t="s">
        <v>26</v>
      </c>
      <c r="D50" s="3" t="s">
        <v>176</v>
      </c>
      <c r="E50" s="3" t="s">
        <v>79</v>
      </c>
      <c r="F50" s="26">
        <v>46310</v>
      </c>
    </row>
    <row r="51" spans="1:6" ht="18" customHeight="1">
      <c r="A51" s="3" t="s">
        <v>171</v>
      </c>
      <c r="B51" s="3" t="s">
        <v>177</v>
      </c>
      <c r="C51" s="20" t="s">
        <v>49</v>
      </c>
      <c r="D51" s="3" t="s">
        <v>178</v>
      </c>
      <c r="E51" s="3" t="s">
        <v>33</v>
      </c>
      <c r="F51" s="26">
        <v>46310</v>
      </c>
    </row>
    <row r="52" spans="1:6" ht="18" customHeight="1">
      <c r="A52" s="3" t="s">
        <v>171</v>
      </c>
      <c r="B52" s="3" t="s">
        <v>177</v>
      </c>
      <c r="C52" s="20" t="s">
        <v>49</v>
      </c>
      <c r="D52" s="3" t="s">
        <v>179</v>
      </c>
      <c r="E52" s="3" t="s">
        <v>21</v>
      </c>
      <c r="F52" s="26">
        <v>46310</v>
      </c>
    </row>
    <row r="53" spans="1:6" ht="18" customHeight="1">
      <c r="A53" s="3" t="s">
        <v>171</v>
      </c>
      <c r="B53" s="3" t="s">
        <v>177</v>
      </c>
      <c r="C53" s="20" t="s">
        <v>49</v>
      </c>
      <c r="D53" s="3" t="s">
        <v>180</v>
      </c>
      <c r="E53" s="3" t="s">
        <v>16</v>
      </c>
      <c r="F53" s="26">
        <v>46310</v>
      </c>
    </row>
    <row r="54" spans="1:6" ht="18" customHeight="1">
      <c r="A54" s="3" t="s">
        <v>171</v>
      </c>
      <c r="B54" s="3" t="s">
        <v>181</v>
      </c>
      <c r="C54" s="3" t="s">
        <v>87</v>
      </c>
      <c r="D54" s="3" t="s">
        <v>182</v>
      </c>
      <c r="E54" s="3" t="s">
        <v>60</v>
      </c>
      <c r="F54" s="26">
        <v>46310</v>
      </c>
    </row>
    <row r="55" spans="1:6" ht="18" customHeight="1">
      <c r="A55" s="3" t="s">
        <v>171</v>
      </c>
      <c r="B55" s="3" t="s">
        <v>183</v>
      </c>
      <c r="C55" s="3" t="s">
        <v>32</v>
      </c>
      <c r="D55" s="3" t="s">
        <v>184</v>
      </c>
      <c r="E55" s="3" t="s">
        <v>16</v>
      </c>
      <c r="F55" s="26">
        <v>46310</v>
      </c>
    </row>
    <row r="56" spans="1:6" ht="18" customHeight="1">
      <c r="A56" s="3" t="s">
        <v>171</v>
      </c>
      <c r="B56" s="3" t="s">
        <v>183</v>
      </c>
      <c r="C56" s="3" t="s">
        <v>32</v>
      </c>
      <c r="D56" s="3" t="s">
        <v>185</v>
      </c>
      <c r="E56" s="3" t="s">
        <v>16</v>
      </c>
      <c r="F56" s="26">
        <v>46310</v>
      </c>
    </row>
    <row r="57" spans="1:6" ht="18" customHeight="1">
      <c r="A57" s="3" t="s">
        <v>171</v>
      </c>
      <c r="B57" s="3" t="s">
        <v>186</v>
      </c>
      <c r="C57" s="20" t="s">
        <v>20</v>
      </c>
      <c r="D57" s="3" t="s">
        <v>187</v>
      </c>
      <c r="E57" s="3" t="s">
        <v>21</v>
      </c>
      <c r="F57" s="26">
        <v>46310</v>
      </c>
    </row>
    <row r="58" spans="1:6" ht="18" customHeight="1">
      <c r="A58" s="3" t="s">
        <v>171</v>
      </c>
      <c r="B58" s="3" t="s">
        <v>186</v>
      </c>
      <c r="C58" s="20" t="s">
        <v>20</v>
      </c>
      <c r="D58" s="3" t="s">
        <v>188</v>
      </c>
      <c r="E58" s="3" t="s">
        <v>79</v>
      </c>
      <c r="F58" s="26">
        <v>46310</v>
      </c>
    </row>
    <row r="59" spans="1:6" ht="18" customHeight="1">
      <c r="A59" s="3" t="s">
        <v>171</v>
      </c>
      <c r="B59" s="3" t="s">
        <v>186</v>
      </c>
      <c r="C59" s="20" t="s">
        <v>20</v>
      </c>
      <c r="D59" s="3" t="s">
        <v>189</v>
      </c>
      <c r="E59" s="3" t="s">
        <v>21</v>
      </c>
      <c r="F59" s="26">
        <v>46310</v>
      </c>
    </row>
    <row r="60" spans="1:6" ht="18" customHeight="1">
      <c r="A60" s="3" t="s">
        <v>171</v>
      </c>
      <c r="B60" s="3" t="s">
        <v>186</v>
      </c>
      <c r="C60" s="20" t="s">
        <v>20</v>
      </c>
      <c r="D60" s="3" t="s">
        <v>190</v>
      </c>
      <c r="E60" s="3" t="s">
        <v>55</v>
      </c>
      <c r="F60" s="26">
        <v>46310</v>
      </c>
    </row>
    <row r="61" spans="1:6" ht="18" customHeight="1">
      <c r="A61" s="3" t="s">
        <v>171</v>
      </c>
      <c r="B61" s="3" t="s">
        <v>186</v>
      </c>
      <c r="C61" s="20" t="s">
        <v>20</v>
      </c>
      <c r="D61" s="3" t="s">
        <v>191</v>
      </c>
      <c r="E61" s="3" t="s">
        <v>60</v>
      </c>
      <c r="F61" s="26">
        <v>46310</v>
      </c>
    </row>
    <row r="62" spans="1:6" ht="18" customHeight="1">
      <c r="A62" s="3" t="s">
        <v>171</v>
      </c>
      <c r="B62" s="3" t="s">
        <v>186</v>
      </c>
      <c r="C62" s="20" t="s">
        <v>20</v>
      </c>
      <c r="D62" s="3" t="s">
        <v>192</v>
      </c>
      <c r="E62" s="3" t="s">
        <v>79</v>
      </c>
      <c r="F62" s="26">
        <v>46310</v>
      </c>
    </row>
    <row r="63" spans="1:6" ht="30" customHeight="1">
      <c r="A63" s="3" t="s">
        <v>171</v>
      </c>
      <c r="B63" s="3" t="s">
        <v>193</v>
      </c>
      <c r="C63" s="20" t="s">
        <v>15</v>
      </c>
      <c r="D63" s="3" t="s">
        <v>194</v>
      </c>
      <c r="E63" s="3" t="s">
        <v>70</v>
      </c>
      <c r="F63" s="26">
        <v>46310</v>
      </c>
    </row>
    <row r="64" spans="1:6" ht="30" customHeight="1">
      <c r="A64" s="3" t="s">
        <v>171</v>
      </c>
      <c r="B64" s="3" t="s">
        <v>193</v>
      </c>
      <c r="C64" s="20" t="s">
        <v>15</v>
      </c>
      <c r="D64" s="3" t="s">
        <v>195</v>
      </c>
      <c r="E64" s="3" t="s">
        <v>33</v>
      </c>
      <c r="F64" s="26">
        <v>46310</v>
      </c>
    </row>
    <row r="65" spans="1:6" ht="18" customHeight="1">
      <c r="A65" s="3" t="s">
        <v>171</v>
      </c>
      <c r="B65" s="3" t="s">
        <v>196</v>
      </c>
      <c r="C65" s="20" t="s">
        <v>38</v>
      </c>
      <c r="D65" s="3" t="s">
        <v>197</v>
      </c>
      <c r="E65" s="3" t="s">
        <v>27</v>
      </c>
      <c r="F65" s="26">
        <v>46310</v>
      </c>
    </row>
    <row r="66" spans="1:6" ht="18" customHeight="1">
      <c r="A66" s="3" t="s">
        <v>171</v>
      </c>
      <c r="B66" s="3" t="s">
        <v>196</v>
      </c>
      <c r="C66" s="20" t="s">
        <v>38</v>
      </c>
      <c r="D66" s="3" t="s">
        <v>198</v>
      </c>
      <c r="E66" s="3" t="s">
        <v>21</v>
      </c>
      <c r="F66" s="26">
        <v>46310</v>
      </c>
    </row>
    <row r="67" spans="1:6" ht="18" customHeight="1">
      <c r="A67" s="3" t="s">
        <v>171</v>
      </c>
      <c r="B67" s="3" t="s">
        <v>199</v>
      </c>
      <c r="C67" s="3" t="s">
        <v>87</v>
      </c>
      <c r="D67" s="3" t="s">
        <v>200</v>
      </c>
      <c r="E67" s="3" t="s">
        <v>16</v>
      </c>
      <c r="F67" s="26">
        <v>46310</v>
      </c>
    </row>
    <row r="68" spans="1:6" ht="18" customHeight="1">
      <c r="A68" s="3" t="s">
        <v>171</v>
      </c>
      <c r="B68" s="3" t="s">
        <v>201</v>
      </c>
      <c r="C68" s="3" t="s">
        <v>87</v>
      </c>
      <c r="D68" s="3" t="s">
        <v>202</v>
      </c>
      <c r="E68" s="3" t="s">
        <v>79</v>
      </c>
      <c r="F68" s="26">
        <v>46310</v>
      </c>
    </row>
    <row r="69" spans="1:6" ht="18" customHeight="1">
      <c r="A69" s="3" t="s">
        <v>171</v>
      </c>
      <c r="B69" s="3" t="s">
        <v>201</v>
      </c>
      <c r="C69" s="3" t="s">
        <v>87</v>
      </c>
      <c r="D69" s="3" t="s">
        <v>203</v>
      </c>
      <c r="E69" s="3" t="s">
        <v>79</v>
      </c>
      <c r="F69" s="26">
        <v>46310</v>
      </c>
    </row>
    <row r="70" spans="1:6" ht="18" customHeight="1">
      <c r="A70" s="3" t="s">
        <v>171</v>
      </c>
      <c r="B70" s="3" t="s">
        <v>201</v>
      </c>
      <c r="C70" s="3" t="s">
        <v>87</v>
      </c>
      <c r="D70" s="3" t="s">
        <v>204</v>
      </c>
      <c r="E70" s="3" t="s">
        <v>21</v>
      </c>
      <c r="F70" s="26">
        <v>46310</v>
      </c>
    </row>
    <row r="71" spans="1:6" ht="18" customHeight="1">
      <c r="A71" s="3" t="s">
        <v>171</v>
      </c>
      <c r="B71" s="3" t="s">
        <v>201</v>
      </c>
      <c r="C71" s="3" t="s">
        <v>87</v>
      </c>
      <c r="D71" s="3" t="s">
        <v>205</v>
      </c>
      <c r="E71" s="3" t="s">
        <v>79</v>
      </c>
      <c r="F71" s="26">
        <v>46310</v>
      </c>
    </row>
    <row r="72" spans="1:6" ht="18" customHeight="1">
      <c r="A72" s="3" t="s">
        <v>171</v>
      </c>
      <c r="B72" s="3" t="s">
        <v>206</v>
      </c>
      <c r="C72" s="3" t="s">
        <v>87</v>
      </c>
      <c r="D72" s="3" t="s">
        <v>207</v>
      </c>
      <c r="E72" s="3" t="s">
        <v>79</v>
      </c>
      <c r="F72" s="26">
        <v>46310</v>
      </c>
    </row>
    <row r="73" spans="1:6" ht="18" customHeight="1">
      <c r="A73" s="3" t="s">
        <v>171</v>
      </c>
      <c r="B73" s="3" t="s">
        <v>208</v>
      </c>
      <c r="C73" s="3" t="s">
        <v>87</v>
      </c>
      <c r="D73" s="3" t="s">
        <v>209</v>
      </c>
      <c r="E73" s="3" t="s">
        <v>79</v>
      </c>
      <c r="F73" s="26">
        <v>46310</v>
      </c>
    </row>
    <row r="74" spans="1:6" ht="30" customHeight="1">
      <c r="A74" s="3" t="s">
        <v>171</v>
      </c>
      <c r="B74" s="3" t="s">
        <v>210</v>
      </c>
      <c r="C74" s="20" t="s">
        <v>32</v>
      </c>
      <c r="D74" s="3" t="s">
        <v>211</v>
      </c>
      <c r="E74" s="3" t="s">
        <v>50</v>
      </c>
      <c r="F74" s="26">
        <v>46310</v>
      </c>
    </row>
    <row r="75" spans="1:6" ht="18" customHeight="1">
      <c r="A75" s="3" t="s">
        <v>171</v>
      </c>
      <c r="B75" s="3" t="s">
        <v>212</v>
      </c>
      <c r="C75" s="3" t="s">
        <v>87</v>
      </c>
      <c r="D75" s="3" t="s">
        <v>213</v>
      </c>
      <c r="E75" s="3" t="s">
        <v>39</v>
      </c>
      <c r="F75" s="26">
        <v>46310</v>
      </c>
    </row>
    <row r="76" spans="1:6" ht="30" customHeight="1">
      <c r="A76" s="3" t="s">
        <v>171</v>
      </c>
      <c r="B76" s="3" t="s">
        <v>214</v>
      </c>
      <c r="C76" s="20" t="s">
        <v>26</v>
      </c>
      <c r="D76" s="3" t="s">
        <v>215</v>
      </c>
      <c r="E76" s="3" t="s">
        <v>79</v>
      </c>
      <c r="F76" s="26">
        <v>46310</v>
      </c>
    </row>
    <row r="77" spans="1:6" ht="18" customHeight="1">
      <c r="A77" s="3" t="s">
        <v>171</v>
      </c>
      <c r="B77" s="3" t="s">
        <v>216</v>
      </c>
      <c r="C77" s="20" t="s">
        <v>20</v>
      </c>
      <c r="D77" s="3" t="s">
        <v>217</v>
      </c>
      <c r="E77" s="3" t="s">
        <v>16</v>
      </c>
      <c r="F77" s="26">
        <v>46310</v>
      </c>
    </row>
    <row r="78" spans="1:6" ht="18" customHeight="1">
      <c r="A78" s="3" t="s">
        <v>171</v>
      </c>
      <c r="B78" s="3" t="s">
        <v>218</v>
      </c>
      <c r="C78" s="3" t="s">
        <v>87</v>
      </c>
      <c r="D78" s="3" t="s">
        <v>219</v>
      </c>
      <c r="E78" s="3" t="s">
        <v>70</v>
      </c>
      <c r="F78" s="26">
        <v>46310</v>
      </c>
    </row>
    <row r="79" spans="1:6" ht="18" customHeight="1">
      <c r="A79" s="3" t="s">
        <v>171</v>
      </c>
      <c r="B79" s="3" t="s">
        <v>220</v>
      </c>
      <c r="C79" s="20" t="s">
        <v>59</v>
      </c>
      <c r="D79" s="3" t="s">
        <v>110</v>
      </c>
      <c r="E79" s="3" t="s">
        <v>55</v>
      </c>
      <c r="F79" s="26">
        <v>46310</v>
      </c>
    </row>
    <row r="80" spans="1:6" ht="18" customHeight="1">
      <c r="A80" s="3" t="s">
        <v>171</v>
      </c>
      <c r="B80" s="3" t="s">
        <v>220</v>
      </c>
      <c r="C80" s="20" t="s">
        <v>59</v>
      </c>
      <c r="D80" s="3" t="s">
        <v>221</v>
      </c>
      <c r="E80" s="3" t="s">
        <v>65</v>
      </c>
      <c r="F80" s="26">
        <v>46310</v>
      </c>
    </row>
    <row r="81" spans="1:6" ht="45" customHeight="1">
      <c r="A81" s="3" t="s">
        <v>171</v>
      </c>
      <c r="B81" s="3" t="s">
        <v>222</v>
      </c>
      <c r="C81" s="20" t="s">
        <v>20</v>
      </c>
      <c r="D81" s="3" t="s">
        <v>223</v>
      </c>
      <c r="E81" s="3" t="s">
        <v>21</v>
      </c>
      <c r="F81" s="26">
        <v>46310</v>
      </c>
    </row>
    <row r="82" spans="1:6" ht="45" customHeight="1">
      <c r="A82" s="3" t="s">
        <v>171</v>
      </c>
      <c r="B82" s="3" t="s">
        <v>224</v>
      </c>
      <c r="C82" s="3" t="s">
        <v>87</v>
      </c>
      <c r="D82" s="3" t="s">
        <v>225</v>
      </c>
      <c r="E82" s="3" t="s">
        <v>21</v>
      </c>
      <c r="F82" s="26">
        <v>46310</v>
      </c>
    </row>
    <row r="83" spans="1:6" ht="45" customHeight="1">
      <c r="A83" s="3" t="s">
        <v>171</v>
      </c>
      <c r="B83" s="3" t="s">
        <v>224</v>
      </c>
      <c r="C83" s="3" t="s">
        <v>87</v>
      </c>
      <c r="D83" s="3" t="s">
        <v>226</v>
      </c>
      <c r="E83" s="3" t="s">
        <v>65</v>
      </c>
      <c r="F83" s="26">
        <v>46310</v>
      </c>
    </row>
    <row r="84" spans="1:6" ht="45" customHeight="1">
      <c r="A84" s="3" t="s">
        <v>171</v>
      </c>
      <c r="B84" s="3" t="s">
        <v>227</v>
      </c>
      <c r="C84" s="3" t="s">
        <v>87</v>
      </c>
      <c r="D84" s="3" t="s">
        <v>228</v>
      </c>
      <c r="E84" s="3" t="s">
        <v>79</v>
      </c>
      <c r="F84" s="26">
        <v>46310</v>
      </c>
    </row>
    <row r="85" spans="1:6" ht="45" customHeight="1">
      <c r="A85" s="3" t="s">
        <v>171</v>
      </c>
      <c r="B85" s="3" t="s">
        <v>229</v>
      </c>
      <c r="C85" s="3" t="s">
        <v>87</v>
      </c>
      <c r="D85" s="3" t="s">
        <v>230</v>
      </c>
      <c r="E85" s="3" t="s">
        <v>79</v>
      </c>
      <c r="F85" s="26">
        <v>46310</v>
      </c>
    </row>
    <row r="86" spans="1:6" ht="45" customHeight="1">
      <c r="A86" s="3" t="s">
        <v>171</v>
      </c>
      <c r="B86" s="3" t="s">
        <v>229</v>
      </c>
      <c r="C86" s="3" t="s">
        <v>87</v>
      </c>
      <c r="D86" s="3" t="s">
        <v>110</v>
      </c>
      <c r="E86" s="3" t="s">
        <v>55</v>
      </c>
      <c r="F86" s="26">
        <v>46310</v>
      </c>
    </row>
    <row r="87" spans="1:6" ht="45" customHeight="1">
      <c r="A87" s="3" t="s">
        <v>171</v>
      </c>
      <c r="B87" s="3" t="s">
        <v>231</v>
      </c>
      <c r="C87" s="3" t="s">
        <v>87</v>
      </c>
      <c r="D87" s="3" t="s">
        <v>230</v>
      </c>
      <c r="E87" s="3" t="s">
        <v>79</v>
      </c>
      <c r="F87" s="26">
        <v>46310</v>
      </c>
    </row>
    <row r="88" spans="1:6" ht="45" customHeight="1">
      <c r="A88" s="3" t="s">
        <v>171</v>
      </c>
      <c r="B88" s="3" t="s">
        <v>231</v>
      </c>
      <c r="C88" s="3" t="s">
        <v>87</v>
      </c>
      <c r="D88" s="3" t="s">
        <v>110</v>
      </c>
      <c r="E88" s="3" t="s">
        <v>55</v>
      </c>
      <c r="F88" s="26">
        <v>46310</v>
      </c>
    </row>
    <row r="89" spans="1:6" ht="45" customHeight="1">
      <c r="A89" s="3" t="s">
        <v>171</v>
      </c>
      <c r="B89" s="3" t="s">
        <v>231</v>
      </c>
      <c r="C89" s="3" t="s">
        <v>87</v>
      </c>
      <c r="D89" s="3" t="s">
        <v>232</v>
      </c>
      <c r="E89" s="3" t="s">
        <v>79</v>
      </c>
      <c r="F89" s="26">
        <v>46310</v>
      </c>
    </row>
    <row r="90" spans="1:6" ht="45" customHeight="1">
      <c r="A90" s="3" t="s">
        <v>171</v>
      </c>
      <c r="B90" s="3" t="s">
        <v>233</v>
      </c>
      <c r="C90" s="3" t="s">
        <v>87</v>
      </c>
      <c r="D90" s="3" t="s">
        <v>234</v>
      </c>
      <c r="E90" s="3" t="s">
        <v>11</v>
      </c>
      <c r="F90" s="26">
        <v>46310</v>
      </c>
    </row>
    <row r="91" spans="1:6" ht="45" customHeight="1">
      <c r="A91" s="3" t="s">
        <v>171</v>
      </c>
      <c r="B91" s="3" t="s">
        <v>233</v>
      </c>
      <c r="C91" s="3" t="s">
        <v>87</v>
      </c>
      <c r="D91" s="3" t="s">
        <v>235</v>
      </c>
      <c r="E91" s="3" t="s">
        <v>65</v>
      </c>
      <c r="F91" s="26">
        <v>46310</v>
      </c>
    </row>
    <row r="92" spans="1:6" ht="45" customHeight="1">
      <c r="A92" s="3" t="s">
        <v>171</v>
      </c>
      <c r="B92" s="3" t="s">
        <v>233</v>
      </c>
      <c r="C92" s="3" t="s">
        <v>87</v>
      </c>
      <c r="D92" s="3" t="s">
        <v>236</v>
      </c>
      <c r="E92" s="3" t="s">
        <v>21</v>
      </c>
      <c r="F92" s="26">
        <v>46310</v>
      </c>
    </row>
    <row r="93" spans="1:6" ht="45" customHeight="1">
      <c r="A93" s="3" t="s">
        <v>171</v>
      </c>
      <c r="B93" s="3" t="s">
        <v>233</v>
      </c>
      <c r="C93" s="3" t="s">
        <v>87</v>
      </c>
      <c r="D93" s="3" t="s">
        <v>237</v>
      </c>
      <c r="E93" s="3" t="s">
        <v>79</v>
      </c>
      <c r="F93" s="26">
        <v>46310</v>
      </c>
    </row>
    <row r="94" spans="1:6" ht="60" customHeight="1">
      <c r="A94" s="3" t="s">
        <v>171</v>
      </c>
      <c r="B94" s="3" t="s">
        <v>238</v>
      </c>
      <c r="C94" s="3" t="s">
        <v>87</v>
      </c>
      <c r="D94" s="3" t="s">
        <v>239</v>
      </c>
      <c r="E94" s="3" t="s">
        <v>11</v>
      </c>
      <c r="F94" s="26">
        <v>46310</v>
      </c>
    </row>
    <row r="95" spans="1:6" ht="45" customHeight="1">
      <c r="A95" s="3" t="s">
        <v>171</v>
      </c>
      <c r="B95" s="3" t="s">
        <v>240</v>
      </c>
      <c r="C95" s="3" t="s">
        <v>87</v>
      </c>
      <c r="D95" s="3" t="s">
        <v>241</v>
      </c>
      <c r="E95" s="3" t="s">
        <v>65</v>
      </c>
      <c r="F95" s="26">
        <v>46310</v>
      </c>
    </row>
    <row r="96" spans="1:6" ht="45" customHeight="1">
      <c r="A96" s="3" t="s">
        <v>171</v>
      </c>
      <c r="B96" s="3" t="s">
        <v>242</v>
      </c>
      <c r="C96" s="3" t="s">
        <v>87</v>
      </c>
      <c r="D96" s="3" t="s">
        <v>243</v>
      </c>
      <c r="E96" s="3" t="s">
        <v>16</v>
      </c>
      <c r="F96" s="26">
        <v>46310</v>
      </c>
    </row>
    <row r="97" spans="1:6" ht="45" customHeight="1">
      <c r="A97" s="3" t="s">
        <v>171</v>
      </c>
      <c r="B97" s="3" t="s">
        <v>242</v>
      </c>
      <c r="C97" s="3" t="s">
        <v>87</v>
      </c>
      <c r="D97" s="3" t="s">
        <v>244</v>
      </c>
      <c r="E97" s="3" t="s">
        <v>21</v>
      </c>
      <c r="F97" s="26">
        <v>46310</v>
      </c>
    </row>
    <row r="98" spans="1:6" ht="18" customHeight="1">
      <c r="A98" s="3" t="s">
        <v>245</v>
      </c>
      <c r="B98" s="3" t="s">
        <v>246</v>
      </c>
      <c r="C98" s="3" t="s">
        <v>87</v>
      </c>
      <c r="D98" s="3" t="s">
        <v>247</v>
      </c>
      <c r="E98" s="3" t="s">
        <v>11</v>
      </c>
      <c r="F98" s="26">
        <v>46310</v>
      </c>
    </row>
    <row r="99" spans="1:6" ht="18" customHeight="1">
      <c r="A99" s="3" t="s">
        <v>245</v>
      </c>
      <c r="B99" s="3" t="s">
        <v>246</v>
      </c>
      <c r="C99" s="3" t="s">
        <v>87</v>
      </c>
      <c r="D99" s="3" t="s">
        <v>248</v>
      </c>
      <c r="E99" s="3" t="s">
        <v>55</v>
      </c>
      <c r="F99" s="26">
        <v>46310</v>
      </c>
    </row>
    <row r="100" spans="1:6" ht="18" customHeight="1">
      <c r="A100" s="3" t="s">
        <v>245</v>
      </c>
      <c r="B100" s="3" t="s">
        <v>249</v>
      </c>
      <c r="C100" s="3" t="s">
        <v>87</v>
      </c>
      <c r="D100" s="3" t="s">
        <v>250</v>
      </c>
      <c r="E100" s="3" t="s">
        <v>21</v>
      </c>
      <c r="F100" s="26">
        <v>46310</v>
      </c>
    </row>
    <row r="101" spans="1:6" ht="18" customHeight="1">
      <c r="A101" s="3" t="s">
        <v>245</v>
      </c>
      <c r="B101" s="3" t="s">
        <v>251</v>
      </c>
      <c r="C101" s="3" t="s">
        <v>87</v>
      </c>
      <c r="D101" s="3" t="s">
        <v>252</v>
      </c>
      <c r="E101" s="3" t="s">
        <v>39</v>
      </c>
      <c r="F101" s="26">
        <v>46310</v>
      </c>
    </row>
    <row r="102" spans="1:6" ht="30" customHeight="1">
      <c r="A102" s="3" t="s">
        <v>245</v>
      </c>
      <c r="B102" s="3" t="s">
        <v>253</v>
      </c>
      <c r="C102" s="20" t="s">
        <v>38</v>
      </c>
      <c r="D102" s="3" t="s">
        <v>254</v>
      </c>
      <c r="E102" s="3" t="s">
        <v>79</v>
      </c>
      <c r="F102" s="26">
        <v>46310</v>
      </c>
    </row>
    <row r="103" spans="1:6" ht="30" customHeight="1">
      <c r="A103" s="3" t="s">
        <v>245</v>
      </c>
      <c r="B103" s="3" t="s">
        <v>255</v>
      </c>
      <c r="C103" s="20" t="s">
        <v>20</v>
      </c>
      <c r="D103" s="3" t="s">
        <v>256</v>
      </c>
      <c r="E103" s="3" t="s">
        <v>21</v>
      </c>
      <c r="F103" s="26">
        <v>46310</v>
      </c>
    </row>
    <row r="104" spans="1:6" ht="18" customHeight="1">
      <c r="A104" s="3" t="s">
        <v>245</v>
      </c>
      <c r="B104" s="3" t="s">
        <v>257</v>
      </c>
      <c r="C104" s="20" t="s">
        <v>69</v>
      </c>
      <c r="D104" s="3" t="s">
        <v>258</v>
      </c>
      <c r="E104" s="3" t="s">
        <v>21</v>
      </c>
      <c r="F104" s="26">
        <v>46310</v>
      </c>
    </row>
    <row r="105" spans="1:6" ht="18" customHeight="1">
      <c r="A105" s="3" t="s">
        <v>245</v>
      </c>
      <c r="B105" s="3" t="s">
        <v>259</v>
      </c>
      <c r="C105" s="20" t="s">
        <v>43</v>
      </c>
      <c r="D105" s="3" t="s">
        <v>260</v>
      </c>
      <c r="E105" s="3" t="s">
        <v>21</v>
      </c>
      <c r="F105" s="26">
        <v>46310</v>
      </c>
    </row>
    <row r="106" spans="1:6" ht="18" customHeight="1">
      <c r="A106" s="3" t="s">
        <v>245</v>
      </c>
      <c r="B106" s="3" t="s">
        <v>261</v>
      </c>
      <c r="C106" s="20" t="s">
        <v>54</v>
      </c>
      <c r="D106" s="3" t="s">
        <v>262</v>
      </c>
      <c r="E106" s="3" t="s">
        <v>21</v>
      </c>
      <c r="F106" s="26">
        <v>46310</v>
      </c>
    </row>
    <row r="107" spans="1:6" ht="18" customHeight="1">
      <c r="A107" s="3" t="s">
        <v>245</v>
      </c>
      <c r="B107" s="3" t="s">
        <v>263</v>
      </c>
      <c r="C107" s="20" t="s">
        <v>26</v>
      </c>
      <c r="D107" s="3" t="s">
        <v>264</v>
      </c>
      <c r="E107" s="3" t="s">
        <v>79</v>
      </c>
      <c r="F107" s="26">
        <v>46310</v>
      </c>
    </row>
    <row r="108" spans="1:6" ht="18" customHeight="1">
      <c r="A108" s="3" t="s">
        <v>245</v>
      </c>
      <c r="B108" s="3" t="s">
        <v>265</v>
      </c>
      <c r="C108" s="3" t="s">
        <v>87</v>
      </c>
      <c r="D108" s="3" t="s">
        <v>266</v>
      </c>
      <c r="E108" s="3" t="s">
        <v>79</v>
      </c>
      <c r="F108" s="26">
        <v>46310</v>
      </c>
    </row>
    <row r="109" spans="1:6" ht="18" customHeight="1">
      <c r="A109" s="3" t="s">
        <v>245</v>
      </c>
      <c r="B109" s="3" t="s">
        <v>267</v>
      </c>
      <c r="C109" s="20" t="s">
        <v>49</v>
      </c>
      <c r="D109" s="3" t="s">
        <v>110</v>
      </c>
      <c r="E109" s="3" t="s">
        <v>55</v>
      </c>
      <c r="F109" s="26">
        <v>46310</v>
      </c>
    </row>
    <row r="110" spans="1:6" ht="18" customHeight="1">
      <c r="A110" s="3" t="s">
        <v>245</v>
      </c>
      <c r="B110" s="3" t="s">
        <v>268</v>
      </c>
      <c r="C110" s="3" t="s">
        <v>87</v>
      </c>
      <c r="D110" s="3" t="s">
        <v>110</v>
      </c>
      <c r="E110" s="3" t="s">
        <v>55</v>
      </c>
      <c r="F110" s="26">
        <v>46310</v>
      </c>
    </row>
    <row r="111" spans="1:6" ht="18" customHeight="1">
      <c r="A111" s="3" t="s">
        <v>245</v>
      </c>
      <c r="B111" s="3" t="s">
        <v>268</v>
      </c>
      <c r="C111" s="3" t="s">
        <v>87</v>
      </c>
      <c r="D111" s="3" t="s">
        <v>269</v>
      </c>
      <c r="E111" s="3" t="s">
        <v>11</v>
      </c>
      <c r="F111" s="26">
        <v>46310</v>
      </c>
    </row>
    <row r="112" spans="1:6" ht="18" customHeight="1">
      <c r="A112" s="3" t="s">
        <v>245</v>
      </c>
      <c r="B112" s="3" t="s">
        <v>268</v>
      </c>
      <c r="C112" s="3" t="s">
        <v>87</v>
      </c>
      <c r="D112" s="3" t="s">
        <v>270</v>
      </c>
      <c r="E112" s="3" t="s">
        <v>21</v>
      </c>
      <c r="F112" s="26">
        <v>46310</v>
      </c>
    </row>
    <row r="113" spans="1:6" ht="18" customHeight="1">
      <c r="A113" s="3" t="s">
        <v>245</v>
      </c>
      <c r="B113" s="3" t="s">
        <v>268</v>
      </c>
      <c r="C113" s="3" t="s">
        <v>87</v>
      </c>
      <c r="D113" s="3" t="s">
        <v>271</v>
      </c>
      <c r="E113" s="3" t="s">
        <v>79</v>
      </c>
      <c r="F113" s="26">
        <v>46310</v>
      </c>
    </row>
    <row r="114" spans="1:6" ht="30" customHeight="1">
      <c r="A114" s="3" t="s">
        <v>245</v>
      </c>
      <c r="B114" s="3" t="s">
        <v>272</v>
      </c>
      <c r="C114" s="3" t="s">
        <v>87</v>
      </c>
      <c r="D114" s="3" t="s">
        <v>273</v>
      </c>
      <c r="E114" s="3" t="s">
        <v>39</v>
      </c>
      <c r="F114" s="26">
        <v>46310</v>
      </c>
    </row>
    <row r="115" spans="1:6" ht="45" customHeight="1">
      <c r="A115" s="3" t="s">
        <v>245</v>
      </c>
      <c r="B115" s="3" t="s">
        <v>274</v>
      </c>
      <c r="C115" s="20" t="s">
        <v>20</v>
      </c>
      <c r="D115" s="3" t="s">
        <v>275</v>
      </c>
      <c r="E115" s="3" t="s">
        <v>75</v>
      </c>
      <c r="F115" s="26">
        <v>46310</v>
      </c>
    </row>
    <row r="116" spans="1:6" ht="30" customHeight="1">
      <c r="A116" s="3" t="s">
        <v>245</v>
      </c>
      <c r="B116" s="3" t="s">
        <v>276</v>
      </c>
      <c r="C116" s="3" t="s">
        <v>87</v>
      </c>
      <c r="D116" s="3" t="s">
        <v>277</v>
      </c>
      <c r="E116" s="3" t="s">
        <v>39</v>
      </c>
      <c r="F116" s="26">
        <v>46310</v>
      </c>
    </row>
    <row r="117" spans="1:6" ht="18" customHeight="1">
      <c r="A117" s="3" t="s">
        <v>245</v>
      </c>
      <c r="B117" s="3" t="s">
        <v>278</v>
      </c>
      <c r="C117" s="3" t="s">
        <v>87</v>
      </c>
      <c r="D117" s="3" t="s">
        <v>279</v>
      </c>
      <c r="E117" s="3" t="s">
        <v>21</v>
      </c>
      <c r="F117" s="26">
        <v>46310</v>
      </c>
    </row>
    <row r="118" spans="1:6" ht="18" customHeight="1">
      <c r="A118" s="3" t="s">
        <v>245</v>
      </c>
      <c r="B118" s="3" t="s">
        <v>278</v>
      </c>
      <c r="C118" s="3" t="s">
        <v>87</v>
      </c>
      <c r="D118" s="3" t="s">
        <v>280</v>
      </c>
      <c r="E118" s="3" t="s">
        <v>21</v>
      </c>
      <c r="F118" s="26">
        <v>46310</v>
      </c>
    </row>
    <row r="119" spans="1:6" ht="18" customHeight="1">
      <c r="A119" s="3" t="s">
        <v>245</v>
      </c>
      <c r="B119" s="3" t="s">
        <v>278</v>
      </c>
      <c r="C119" s="3" t="s">
        <v>87</v>
      </c>
      <c r="D119" s="3" t="s">
        <v>281</v>
      </c>
      <c r="E119" s="3" t="s">
        <v>79</v>
      </c>
      <c r="F119" s="26">
        <v>46310</v>
      </c>
    </row>
    <row r="120" spans="1:6" ht="18" customHeight="1">
      <c r="A120" s="3" t="s">
        <v>245</v>
      </c>
      <c r="B120" s="3" t="s">
        <v>278</v>
      </c>
      <c r="C120" s="3" t="s">
        <v>87</v>
      </c>
      <c r="D120" s="3" t="s">
        <v>282</v>
      </c>
      <c r="E120" s="3" t="s">
        <v>39</v>
      </c>
      <c r="F120" s="26">
        <v>46310</v>
      </c>
    </row>
    <row r="121" spans="1:6" ht="30" customHeight="1">
      <c r="A121" s="3" t="s">
        <v>245</v>
      </c>
      <c r="B121" s="3" t="s">
        <v>283</v>
      </c>
      <c r="C121" s="3" t="s">
        <v>87</v>
      </c>
      <c r="D121" s="3" t="s">
        <v>284</v>
      </c>
      <c r="E121" s="3" t="s">
        <v>39</v>
      </c>
      <c r="F121" s="26">
        <v>46310</v>
      </c>
    </row>
    <row r="122" spans="1:6" ht="18" customHeight="1">
      <c r="A122" s="3" t="s">
        <v>245</v>
      </c>
      <c r="B122" s="3" t="s">
        <v>285</v>
      </c>
      <c r="C122" s="3" t="s">
        <v>87</v>
      </c>
      <c r="D122" s="3" t="s">
        <v>286</v>
      </c>
      <c r="E122" s="3" t="s">
        <v>21</v>
      </c>
      <c r="F122" s="26">
        <v>46310</v>
      </c>
    </row>
    <row r="123" spans="1:6" ht="30" customHeight="1">
      <c r="A123" s="3" t="s">
        <v>245</v>
      </c>
      <c r="B123" s="3" t="s">
        <v>287</v>
      </c>
      <c r="C123" s="3" t="s">
        <v>87</v>
      </c>
      <c r="D123" s="3" t="s">
        <v>288</v>
      </c>
      <c r="E123" s="3" t="s">
        <v>21</v>
      </c>
      <c r="F123" s="26">
        <v>46310</v>
      </c>
    </row>
    <row r="124" spans="1:6" ht="45" customHeight="1">
      <c r="A124" s="3" t="s">
        <v>245</v>
      </c>
      <c r="B124" s="3" t="s">
        <v>287</v>
      </c>
      <c r="C124" s="3" t="s">
        <v>87</v>
      </c>
      <c r="D124" s="3" t="s">
        <v>289</v>
      </c>
      <c r="E124" s="3" t="s">
        <v>79</v>
      </c>
      <c r="F124" s="26">
        <v>46310</v>
      </c>
    </row>
    <row r="125" spans="1:6" ht="18" customHeight="1">
      <c r="A125" s="3" t="s">
        <v>245</v>
      </c>
      <c r="B125" s="3" t="s">
        <v>290</v>
      </c>
      <c r="C125" s="3" t="s">
        <v>87</v>
      </c>
      <c r="D125" s="3" t="s">
        <v>291</v>
      </c>
      <c r="E125" s="3" t="s">
        <v>50</v>
      </c>
      <c r="F125" s="26">
        <v>46310</v>
      </c>
    </row>
    <row r="126" spans="1:6" ht="18" customHeight="1">
      <c r="A126" s="3" t="s">
        <v>245</v>
      </c>
      <c r="B126" s="3" t="s">
        <v>292</v>
      </c>
      <c r="C126" s="3" t="s">
        <v>87</v>
      </c>
      <c r="D126" s="3" t="s">
        <v>293</v>
      </c>
      <c r="E126" s="3" t="s">
        <v>21</v>
      </c>
      <c r="F126" s="26">
        <v>46310</v>
      </c>
    </row>
    <row r="127" spans="1:6" ht="18" customHeight="1">
      <c r="A127" s="3" t="s">
        <v>245</v>
      </c>
      <c r="B127" s="3" t="s">
        <v>294</v>
      </c>
      <c r="C127" s="3" t="s">
        <v>87</v>
      </c>
      <c r="D127" s="3" t="s">
        <v>295</v>
      </c>
      <c r="E127" s="3" t="s">
        <v>21</v>
      </c>
      <c r="F127" s="26">
        <v>46310</v>
      </c>
    </row>
    <row r="128" spans="1:6" ht="18" customHeight="1">
      <c r="A128" s="3" t="s">
        <v>245</v>
      </c>
      <c r="B128" s="3" t="s">
        <v>294</v>
      </c>
      <c r="C128" s="3" t="s">
        <v>87</v>
      </c>
      <c r="D128" s="3" t="s">
        <v>296</v>
      </c>
      <c r="E128" s="3" t="s">
        <v>21</v>
      </c>
      <c r="F128" s="26">
        <v>46310</v>
      </c>
    </row>
    <row r="129" spans="1:6" ht="18" customHeight="1">
      <c r="A129" s="3" t="s">
        <v>245</v>
      </c>
      <c r="B129" s="3" t="s">
        <v>297</v>
      </c>
      <c r="C129" s="3" t="s">
        <v>87</v>
      </c>
      <c r="D129" s="3" t="s">
        <v>298</v>
      </c>
      <c r="E129" s="3" t="s">
        <v>39</v>
      </c>
      <c r="F129" s="26">
        <v>46310</v>
      </c>
    </row>
    <row r="130" spans="1:6" ht="18" customHeight="1">
      <c r="A130" s="3" t="s">
        <v>245</v>
      </c>
      <c r="B130" s="3" t="s">
        <v>299</v>
      </c>
      <c r="C130" s="3" t="s">
        <v>87</v>
      </c>
      <c r="D130" s="3" t="s">
        <v>300</v>
      </c>
      <c r="E130" s="3" t="s">
        <v>79</v>
      </c>
      <c r="F130" s="26">
        <v>46310</v>
      </c>
    </row>
    <row r="131" spans="1:6" ht="18" customHeight="1">
      <c r="A131" s="3" t="s">
        <v>245</v>
      </c>
      <c r="B131" s="3" t="s">
        <v>301</v>
      </c>
      <c r="C131" s="3" t="s">
        <v>87</v>
      </c>
      <c r="D131" s="3" t="s">
        <v>302</v>
      </c>
      <c r="E131" s="3" t="s">
        <v>21</v>
      </c>
      <c r="F131" s="26">
        <v>46310</v>
      </c>
    </row>
    <row r="132" spans="1:6" ht="30" customHeight="1">
      <c r="A132" s="3" t="s">
        <v>245</v>
      </c>
      <c r="B132" s="3" t="s">
        <v>303</v>
      </c>
      <c r="C132" s="3" t="s">
        <v>87</v>
      </c>
      <c r="D132" s="3" t="s">
        <v>304</v>
      </c>
      <c r="E132" s="3" t="s">
        <v>21</v>
      </c>
      <c r="F132" s="26">
        <v>46310</v>
      </c>
    </row>
    <row r="133" spans="1:6" ht="30" customHeight="1">
      <c r="A133" s="3" t="s">
        <v>245</v>
      </c>
      <c r="B133" s="3" t="s">
        <v>305</v>
      </c>
      <c r="C133" s="3" t="s">
        <v>87</v>
      </c>
      <c r="D133" s="3" t="s">
        <v>306</v>
      </c>
      <c r="E133" s="3" t="s">
        <v>79</v>
      </c>
      <c r="F133" s="26">
        <v>46310</v>
      </c>
    </row>
    <row r="134" spans="1:6" ht="18" customHeight="1">
      <c r="A134" s="3" t="s">
        <v>245</v>
      </c>
      <c r="B134" s="3" t="s">
        <v>307</v>
      </c>
      <c r="C134" s="3" t="s">
        <v>87</v>
      </c>
      <c r="D134" s="3" t="s">
        <v>308</v>
      </c>
      <c r="E134" s="3" t="s">
        <v>16</v>
      </c>
      <c r="F134" s="26">
        <v>46310</v>
      </c>
    </row>
    <row r="135" spans="1:6" ht="18" customHeight="1">
      <c r="A135" s="3" t="s">
        <v>245</v>
      </c>
      <c r="B135" s="3" t="s">
        <v>309</v>
      </c>
      <c r="C135" s="3" t="s">
        <v>87</v>
      </c>
      <c r="D135" s="3" t="s">
        <v>310</v>
      </c>
      <c r="E135" s="3" t="s">
        <v>79</v>
      </c>
      <c r="F135" s="26">
        <v>46310</v>
      </c>
    </row>
    <row r="136" spans="1:6" ht="30" customHeight="1">
      <c r="A136" s="3" t="s">
        <v>100</v>
      </c>
      <c r="B136" s="3" t="s">
        <v>311</v>
      </c>
      <c r="C136" s="3" t="s">
        <v>87</v>
      </c>
      <c r="D136" s="3" t="s">
        <v>312</v>
      </c>
      <c r="E136" s="3" t="s">
        <v>33</v>
      </c>
      <c r="F136" s="26">
        <v>46315</v>
      </c>
    </row>
    <row r="137" spans="1:6" ht="30" customHeight="1">
      <c r="A137" s="3" t="s">
        <v>100</v>
      </c>
      <c r="B137" s="3" t="s">
        <v>311</v>
      </c>
      <c r="C137" s="3" t="s">
        <v>87</v>
      </c>
      <c r="D137" s="3" t="s">
        <v>313</v>
      </c>
      <c r="E137" s="3" t="s">
        <v>33</v>
      </c>
      <c r="F137" s="26">
        <v>46315</v>
      </c>
    </row>
    <row r="138" spans="1:6" ht="30" customHeight="1">
      <c r="A138" s="3" t="s">
        <v>100</v>
      </c>
      <c r="B138" s="3" t="s">
        <v>135</v>
      </c>
      <c r="C138" s="20" t="s">
        <v>15</v>
      </c>
      <c r="D138" s="3" t="s">
        <v>314</v>
      </c>
      <c r="E138" s="3" t="s">
        <v>55</v>
      </c>
      <c r="F138" s="26">
        <v>46315</v>
      </c>
    </row>
    <row r="139" spans="1:6" ht="18" customHeight="1">
      <c r="A139" s="3" t="s">
        <v>100</v>
      </c>
      <c r="B139" s="3" t="s">
        <v>123</v>
      </c>
      <c r="C139" s="20" t="s">
        <v>69</v>
      </c>
      <c r="D139" s="3" t="s">
        <v>315</v>
      </c>
      <c r="E139" s="3" t="s">
        <v>60</v>
      </c>
      <c r="F139" s="26">
        <v>46315</v>
      </c>
    </row>
    <row r="140" spans="1:6" ht="18" customHeight="1">
      <c r="A140" s="3" t="s">
        <v>100</v>
      </c>
      <c r="B140" s="3" t="s">
        <v>137</v>
      </c>
      <c r="C140" s="20" t="s">
        <v>26</v>
      </c>
      <c r="D140" s="3" t="s">
        <v>316</v>
      </c>
      <c r="E140" s="3" t="s">
        <v>44</v>
      </c>
      <c r="F140" s="26">
        <v>46315</v>
      </c>
    </row>
    <row r="141" spans="1:6" ht="30" customHeight="1">
      <c r="A141" s="3" t="s">
        <v>100</v>
      </c>
      <c r="B141" s="3" t="s">
        <v>113</v>
      </c>
      <c r="C141" s="20" t="s">
        <v>49</v>
      </c>
      <c r="D141" s="3" t="s">
        <v>317</v>
      </c>
      <c r="E141" s="3" t="s">
        <v>21</v>
      </c>
      <c r="F141" s="26">
        <v>46315</v>
      </c>
    </row>
    <row r="142" spans="1:6" ht="30" customHeight="1">
      <c r="A142" s="3" t="s">
        <v>100</v>
      </c>
      <c r="B142" s="3" t="s">
        <v>113</v>
      </c>
      <c r="C142" s="20" t="s">
        <v>49</v>
      </c>
      <c r="D142" s="3" t="s">
        <v>318</v>
      </c>
      <c r="E142" s="3" t="s">
        <v>75</v>
      </c>
      <c r="F142" s="26">
        <v>46315</v>
      </c>
    </row>
    <row r="143" spans="1:6" ht="30" customHeight="1">
      <c r="A143" s="3" t="s">
        <v>245</v>
      </c>
      <c r="B143" s="3" t="s">
        <v>259</v>
      </c>
      <c r="C143" s="20" t="s">
        <v>43</v>
      </c>
      <c r="D143" s="3" t="s">
        <v>319</v>
      </c>
      <c r="E143" s="3" t="s">
        <v>75</v>
      </c>
      <c r="F143" s="26">
        <v>46315</v>
      </c>
    </row>
    <row r="144" spans="1:6" ht="18" customHeight="1">
      <c r="A144" s="3" t="s">
        <v>245</v>
      </c>
      <c r="B144" s="3" t="s">
        <v>320</v>
      </c>
      <c r="C144" s="20" t="s">
        <v>15</v>
      </c>
      <c r="D144" s="3" t="s">
        <v>321</v>
      </c>
      <c r="E144" s="3" t="s">
        <v>79</v>
      </c>
      <c r="F144" s="26">
        <v>46315</v>
      </c>
    </row>
    <row r="145" spans="1:6" ht="18" customHeight="1">
      <c r="A145" s="3" t="s">
        <v>100</v>
      </c>
      <c r="B145" s="3" t="s">
        <v>148</v>
      </c>
      <c r="C145" s="20" t="s">
        <v>20</v>
      </c>
      <c r="D145" s="3" t="s">
        <v>322</v>
      </c>
      <c r="E145" s="3" t="s">
        <v>16</v>
      </c>
      <c r="F145" s="26">
        <v>46316</v>
      </c>
    </row>
    <row r="146" spans="1:6" ht="18" customHeight="1">
      <c r="A146" s="3" t="s">
        <v>245</v>
      </c>
      <c r="B146" s="3" t="s">
        <v>255</v>
      </c>
      <c r="C146" s="20" t="s">
        <v>20</v>
      </c>
      <c r="D146" s="3" t="s">
        <v>361</v>
      </c>
      <c r="E146" s="3" t="s">
        <v>75</v>
      </c>
      <c r="F146" s="26">
        <v>46316</v>
      </c>
    </row>
    <row r="147" spans="1:6" ht="18" customHeight="1">
      <c r="A147" s="3" t="s">
        <v>171</v>
      </c>
      <c r="B147" s="3" t="s">
        <v>186</v>
      </c>
      <c r="C147" s="20" t="s">
        <v>20</v>
      </c>
      <c r="D147" s="3" t="s">
        <v>323</v>
      </c>
      <c r="E147" s="3" t="s">
        <v>21</v>
      </c>
      <c r="F147" s="26">
        <v>46316</v>
      </c>
    </row>
    <row r="148" spans="1:6" ht="18" customHeight="1">
      <c r="A148" s="3" t="s">
        <v>100</v>
      </c>
      <c r="B148" s="3" t="s">
        <v>144</v>
      </c>
      <c r="C148" s="20" t="s">
        <v>32</v>
      </c>
      <c r="D148" s="3" t="s">
        <v>324</v>
      </c>
      <c r="E148" s="3" t="s">
        <v>33</v>
      </c>
      <c r="F148" s="26">
        <v>46316</v>
      </c>
    </row>
    <row r="149" spans="1:6" ht="18" customHeight="1">
      <c r="A149" s="3" t="s">
        <v>100</v>
      </c>
      <c r="B149" s="3" t="s">
        <v>144</v>
      </c>
      <c r="C149" s="20" t="s">
        <v>32</v>
      </c>
      <c r="D149" s="3" t="s">
        <v>325</v>
      </c>
      <c r="E149" s="3" t="s">
        <v>44</v>
      </c>
      <c r="F149" s="26">
        <v>46316</v>
      </c>
    </row>
    <row r="150" spans="1:6" ht="18" customHeight="1">
      <c r="A150" s="3" t="s">
        <v>171</v>
      </c>
      <c r="B150" s="3" t="s">
        <v>183</v>
      </c>
      <c r="C150" s="20" t="s">
        <v>32</v>
      </c>
      <c r="D150" s="3" t="s">
        <v>326</v>
      </c>
      <c r="E150" s="3" t="s">
        <v>16</v>
      </c>
      <c r="F150" s="26">
        <v>46316</v>
      </c>
    </row>
    <row r="151" spans="1:6" ht="18" customHeight="1">
      <c r="A151" s="3" t="s">
        <v>245</v>
      </c>
      <c r="B151" s="3" t="s">
        <v>253</v>
      </c>
      <c r="C151" s="20" t="s">
        <v>38</v>
      </c>
      <c r="D151" s="3" t="s">
        <v>327</v>
      </c>
      <c r="E151" s="3" t="s">
        <v>44</v>
      </c>
      <c r="F151" s="26">
        <v>46316</v>
      </c>
    </row>
    <row r="152" spans="1:6" ht="18" customHeight="1">
      <c r="A152" s="3" t="s">
        <v>100</v>
      </c>
      <c r="B152" s="3" t="s">
        <v>328</v>
      </c>
      <c r="C152" s="20" t="s">
        <v>38</v>
      </c>
      <c r="D152" s="3" t="s">
        <v>329</v>
      </c>
      <c r="E152" s="3" t="s">
        <v>44</v>
      </c>
      <c r="F152" s="26">
        <v>46316</v>
      </c>
    </row>
    <row r="153" spans="1:6" ht="18" customHeight="1">
      <c r="A153" s="3" t="s">
        <v>171</v>
      </c>
      <c r="B153" s="3" t="s">
        <v>196</v>
      </c>
      <c r="C153" s="20" t="s">
        <v>38</v>
      </c>
      <c r="D153" s="3" t="s">
        <v>330</v>
      </c>
      <c r="E153" s="3" t="s">
        <v>21</v>
      </c>
      <c r="F153" s="26">
        <v>46316</v>
      </c>
    </row>
    <row r="154" spans="1:6" ht="18" customHeight="1">
      <c r="A154" s="3" t="s">
        <v>100</v>
      </c>
      <c r="B154" s="3" t="s">
        <v>331</v>
      </c>
      <c r="C154" s="20" t="s">
        <v>64</v>
      </c>
      <c r="D154" s="3" t="s">
        <v>332</v>
      </c>
      <c r="E154" s="3" t="s">
        <v>44</v>
      </c>
      <c r="F154" s="26">
        <v>46316</v>
      </c>
    </row>
    <row r="155" spans="1:6" ht="18" customHeight="1">
      <c r="A155" s="3" t="s">
        <v>100</v>
      </c>
      <c r="B155" s="3" t="s">
        <v>331</v>
      </c>
      <c r="C155" s="20" t="s">
        <v>64</v>
      </c>
      <c r="D155" s="3" t="s">
        <v>333</v>
      </c>
      <c r="E155" s="3" t="s">
        <v>21</v>
      </c>
      <c r="F155" s="26">
        <v>46316</v>
      </c>
    </row>
    <row r="156" spans="1:6" ht="18" customHeight="1">
      <c r="A156" s="3" t="s">
        <v>100</v>
      </c>
      <c r="B156" s="3" t="s">
        <v>131</v>
      </c>
      <c r="C156" s="20" t="s">
        <v>84</v>
      </c>
      <c r="D156" s="3" t="s">
        <v>334</v>
      </c>
      <c r="E156" s="3" t="s">
        <v>33</v>
      </c>
      <c r="F156" s="26">
        <v>46316</v>
      </c>
    </row>
    <row r="157" spans="1:6" ht="36">
      <c r="A157" s="3" t="s">
        <v>100</v>
      </c>
      <c r="B157" s="3" t="s">
        <v>335</v>
      </c>
      <c r="C157" s="20" t="s">
        <v>43</v>
      </c>
      <c r="D157" s="3" t="s">
        <v>336</v>
      </c>
      <c r="E157" s="3" t="s">
        <v>21</v>
      </c>
      <c r="F157" s="26">
        <v>46317</v>
      </c>
    </row>
    <row r="158" spans="1:6" ht="36">
      <c r="A158" s="3" t="s">
        <v>100</v>
      </c>
      <c r="B158" s="3" t="s">
        <v>335</v>
      </c>
      <c r="C158" s="20" t="s">
        <v>43</v>
      </c>
      <c r="D158" s="3" t="s">
        <v>337</v>
      </c>
      <c r="E158" s="3" t="s">
        <v>33</v>
      </c>
      <c r="F158" s="26">
        <v>46317</v>
      </c>
    </row>
    <row r="159" spans="1:6" ht="36">
      <c r="A159" s="3" t="s">
        <v>245</v>
      </c>
      <c r="B159" s="3" t="s">
        <v>259</v>
      </c>
      <c r="C159" s="20" t="s">
        <v>43</v>
      </c>
      <c r="D159" s="3" t="s">
        <v>338</v>
      </c>
      <c r="E159" s="3" t="s">
        <v>21</v>
      </c>
      <c r="F159" s="26">
        <v>46317</v>
      </c>
    </row>
    <row r="160" spans="1:6" ht="36">
      <c r="A160" s="3" t="s">
        <v>245</v>
      </c>
      <c r="B160" s="3" t="s">
        <v>339</v>
      </c>
      <c r="C160" s="20" t="s">
        <v>43</v>
      </c>
      <c r="D160" s="3" t="s">
        <v>340</v>
      </c>
      <c r="E160" s="3" t="s">
        <v>44</v>
      </c>
      <c r="F160" s="26">
        <v>46317</v>
      </c>
    </row>
    <row r="161" spans="1:6" ht="36">
      <c r="A161" s="3" t="s">
        <v>100</v>
      </c>
      <c r="B161" s="3" t="s">
        <v>113</v>
      </c>
      <c r="C161" s="20" t="s">
        <v>49</v>
      </c>
      <c r="D161" s="3" t="s">
        <v>341</v>
      </c>
      <c r="E161" s="3" t="s">
        <v>33</v>
      </c>
      <c r="F161" s="26">
        <v>46317</v>
      </c>
    </row>
    <row r="162" spans="1:6" ht="36">
      <c r="A162" s="3" t="s">
        <v>100</v>
      </c>
      <c r="B162" s="3" t="s">
        <v>113</v>
      </c>
      <c r="C162" s="20" t="s">
        <v>49</v>
      </c>
      <c r="D162" s="3" t="s">
        <v>342</v>
      </c>
      <c r="E162" s="3" t="s">
        <v>33</v>
      </c>
      <c r="F162" s="26">
        <v>46317</v>
      </c>
    </row>
    <row r="163" spans="1:6" ht="36">
      <c r="A163" s="3" t="s">
        <v>171</v>
      </c>
      <c r="B163" s="3" t="s">
        <v>177</v>
      </c>
      <c r="C163" s="20" t="s">
        <v>49</v>
      </c>
      <c r="D163" s="3" t="s">
        <v>343</v>
      </c>
      <c r="E163" s="3" t="s">
        <v>33</v>
      </c>
      <c r="F163" s="26">
        <v>46317</v>
      </c>
    </row>
    <row r="164" spans="1:6" ht="36">
      <c r="A164" s="3" t="s">
        <v>100</v>
      </c>
      <c r="B164" s="3" t="s">
        <v>344</v>
      </c>
      <c r="C164" s="20" t="s">
        <v>74</v>
      </c>
      <c r="D164" s="3" t="s">
        <v>345</v>
      </c>
      <c r="E164" s="3" t="s">
        <v>70</v>
      </c>
      <c r="F164" s="26">
        <v>46317</v>
      </c>
    </row>
    <row r="165" spans="1:6" ht="18">
      <c r="A165" s="3" t="s">
        <v>100</v>
      </c>
      <c r="B165" s="3" t="s">
        <v>344</v>
      </c>
      <c r="C165" s="20" t="s">
        <v>74</v>
      </c>
      <c r="D165" s="3" t="s">
        <v>346</v>
      </c>
      <c r="E165" s="3" t="s">
        <v>33</v>
      </c>
      <c r="F165" s="26">
        <v>46317</v>
      </c>
    </row>
    <row r="166" spans="1:6" ht="36">
      <c r="A166" s="3" t="s">
        <v>100</v>
      </c>
      <c r="B166" s="3" t="s">
        <v>347</v>
      </c>
      <c r="C166" s="20" t="s">
        <v>59</v>
      </c>
      <c r="D166" s="3" t="s">
        <v>348</v>
      </c>
      <c r="E166" s="3" t="s">
        <v>33</v>
      </c>
      <c r="F166" s="26">
        <v>46317</v>
      </c>
    </row>
    <row r="167" spans="1:6" ht="36">
      <c r="A167" s="3" t="s">
        <v>100</v>
      </c>
      <c r="B167" s="3" t="s">
        <v>349</v>
      </c>
      <c r="C167" s="20" t="s">
        <v>26</v>
      </c>
      <c r="D167" s="3" t="s">
        <v>350</v>
      </c>
      <c r="E167" s="3" t="s">
        <v>44</v>
      </c>
      <c r="F167" s="26">
        <v>46317</v>
      </c>
    </row>
    <row r="168" spans="1:6" ht="36">
      <c r="A168" s="3" t="s">
        <v>245</v>
      </c>
      <c r="B168" s="3" t="s">
        <v>351</v>
      </c>
      <c r="C168" s="20" t="s">
        <v>78</v>
      </c>
      <c r="D168" s="3" t="s">
        <v>352</v>
      </c>
      <c r="E168" s="3" t="s">
        <v>75</v>
      </c>
      <c r="F168" s="26">
        <v>46317</v>
      </c>
    </row>
  </sheetData>
  <phoneticPr fontId="2" type="noConversion"/>
  <dataValidations count="4">
    <dataValidation type="list" allowBlank="1" showInputMessage="1" showErrorMessage="1" errorTitle="請選擇有效類別" error="請使用下拉選單中的類別，分類項目請參閱「分類說明」。" sqref="E2:E168" xr:uid="{00000000-0002-0000-0000-000000000000}">
      <formula1>類別選項</formula1>
    </dataValidation>
    <dataValidation type="list" allowBlank="1" showInputMessage="1" showErrorMessage="1" sqref="A2:A168" xr:uid="{00000000-0002-0000-0000-000001000000}">
      <formula1>業別選項</formula1>
    </dataValidation>
    <dataValidation type="list" allowBlank="1" showInputMessage="1" showErrorMessage="1" sqref="B2:B168" xr:uid="{00000000-0002-0000-0000-000002000000}">
      <formula1>業者選項</formula1>
    </dataValidation>
    <dataValidation type="list" allowBlank="1" showInputMessage="1" showErrorMessage="1" sqref="C2:C168" xr:uid="{00000000-0002-0000-0000-000003000000}">
      <formula1>所屬金控選項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topLeftCell="B1" workbookViewId="0">
      <pane ySplit="1" topLeftCell="A44" activePane="bottomLeft" state="frozen"/>
      <selection pane="bottomLeft" activeCell="B91" sqref="B91"/>
    </sheetView>
  </sheetViews>
  <sheetFormatPr baseColWidth="10" defaultColWidth="8.83203125" defaultRowHeight="15"/>
  <cols>
    <col min="1" max="1" width="14.33203125" style="13" customWidth="1"/>
    <col min="2" max="2" width="55" style="13" customWidth="1"/>
    <col min="3" max="4" width="14.1640625" style="13" customWidth="1"/>
    <col min="6" max="6" width="15" style="13" bestFit="1" customWidth="1"/>
    <col min="7" max="7" width="46.6640625" style="13" customWidth="1"/>
    <col min="8" max="8" width="18.6640625" style="13" bestFit="1" customWidth="1"/>
  </cols>
  <sheetData>
    <row r="1" spans="1:8" ht="18" customHeight="1">
      <c r="A1" s="9" t="s">
        <v>96</v>
      </c>
      <c r="B1" s="9" t="s">
        <v>97</v>
      </c>
      <c r="C1" s="10" t="s">
        <v>353</v>
      </c>
      <c r="D1" s="10" t="s">
        <v>7</v>
      </c>
      <c r="F1" s="14" t="s">
        <v>354</v>
      </c>
      <c r="G1" s="15" t="s">
        <v>355</v>
      </c>
      <c r="H1" s="24" t="s">
        <v>356</v>
      </c>
    </row>
    <row r="2" spans="1:8" ht="18" customHeight="1">
      <c r="A2" s="2" t="s">
        <v>100</v>
      </c>
      <c r="B2" s="2" t="s">
        <v>101</v>
      </c>
      <c r="C2" s="4">
        <v>1</v>
      </c>
      <c r="D2" s="5">
        <f>COUNTIFS(AI應用場景!A:A,A2,AI應用場景!B:B,B2)</f>
        <v>3</v>
      </c>
      <c r="F2" t="str">
        <f t="array" ref="F2:F4">_xlfn._xlws.SORT(_xlfn.UNIQUE(業者來源索引[業別]))</f>
        <v>保險業</v>
      </c>
      <c r="G2" s="16" t="str">
        <f t="array" ref="G2:G83">_xlfn._xlws.SORT(_xlfn.UNIQUE(業者來源索引[業者]))</f>
        <v>口袋證券</v>
      </c>
      <c r="H2" s="17" t="s">
        <v>15</v>
      </c>
    </row>
    <row r="3" spans="1:8" ht="18" customHeight="1">
      <c r="A3" s="2" t="s">
        <v>100</v>
      </c>
      <c r="B3" s="2" t="s">
        <v>105</v>
      </c>
      <c r="C3" s="4">
        <v>1</v>
      </c>
      <c r="D3" s="5">
        <f>COUNTIFS(AI應用場景!A:A,A3,AI應用場景!B:B,B3)</f>
        <v>1</v>
      </c>
      <c r="F3" t="str">
        <v>銀行業</v>
      </c>
      <c r="G3" s="16" t="str">
        <v>大昌證券</v>
      </c>
      <c r="H3" s="17" t="s">
        <v>20</v>
      </c>
    </row>
    <row r="4" spans="1:8" ht="18" customHeight="1">
      <c r="A4" s="2" t="s">
        <v>100</v>
      </c>
      <c r="B4" s="2" t="s">
        <v>107</v>
      </c>
      <c r="C4" s="4">
        <v>1</v>
      </c>
      <c r="D4" s="5">
        <f>COUNTIFS(AI應用場景!A:A,A4,AI應用場景!B:B,B4)</f>
        <v>1</v>
      </c>
      <c r="F4" t="str">
        <v>證券期貨業</v>
      </c>
      <c r="G4" s="16" t="str">
        <v>中信產險</v>
      </c>
      <c r="H4" s="17" t="s">
        <v>26</v>
      </c>
    </row>
    <row r="5" spans="1:8" ht="18" customHeight="1">
      <c r="A5" s="2" t="s">
        <v>100</v>
      </c>
      <c r="B5" s="2" t="s">
        <v>109</v>
      </c>
      <c r="C5" s="4">
        <v>1</v>
      </c>
      <c r="D5" s="5">
        <f>COUNTIFS(AI應用場景!A:A,A5,AI應用場景!B:B,B5)</f>
        <v>1</v>
      </c>
      <c r="G5" s="16" t="str">
        <v>中國信託銀行</v>
      </c>
      <c r="H5" s="17" t="s">
        <v>32</v>
      </c>
    </row>
    <row r="6" spans="1:8" ht="18" customHeight="1">
      <c r="A6" s="2" t="s">
        <v>100</v>
      </c>
      <c r="B6" s="2" t="s">
        <v>111</v>
      </c>
      <c r="C6" s="4">
        <v>1</v>
      </c>
      <c r="D6" s="5">
        <f>COUNTIFS(AI應用場景!A:A,A6,AI應用場景!B:B,B6)</f>
        <v>1</v>
      </c>
      <c r="G6" s="16" t="str">
        <v>元大人壽</v>
      </c>
      <c r="H6" s="17" t="s">
        <v>38</v>
      </c>
    </row>
    <row r="7" spans="1:8" ht="18" customHeight="1">
      <c r="A7" s="2" t="s">
        <v>100</v>
      </c>
      <c r="B7" s="2" t="s">
        <v>113</v>
      </c>
      <c r="C7" s="4">
        <v>1</v>
      </c>
      <c r="D7" s="5">
        <f>COUNTIFS(AI應用場景!A:A,A7,AI應用場景!B:B,B7)</f>
        <v>7</v>
      </c>
      <c r="G7" s="16" t="str">
        <v>元大銀行</v>
      </c>
      <c r="H7" s="17" t="s">
        <v>43</v>
      </c>
    </row>
    <row r="8" spans="1:8" ht="18" customHeight="1">
      <c r="A8" s="2" t="s">
        <v>100</v>
      </c>
      <c r="B8" s="2" t="s">
        <v>117</v>
      </c>
      <c r="C8" s="4">
        <v>1</v>
      </c>
      <c r="D8" s="5">
        <f>COUNTIFS(AI應用場景!A:A,A8,AI應用場景!B:B,B8)</f>
        <v>1</v>
      </c>
      <c r="G8" s="16" t="str">
        <v>元大證券</v>
      </c>
      <c r="H8" s="17" t="s">
        <v>49</v>
      </c>
    </row>
    <row r="9" spans="1:8" ht="18" customHeight="1">
      <c r="A9" s="2" t="s">
        <v>100</v>
      </c>
      <c r="B9" s="2" t="s">
        <v>119</v>
      </c>
      <c r="C9" s="4">
        <v>1</v>
      </c>
      <c r="D9" s="5">
        <f>COUNTIFS(AI應用場景!A:A,A9,AI應用場景!B:B,B9)</f>
        <v>1</v>
      </c>
      <c r="G9" s="16" t="str">
        <v>公勝保險經紀人股份有限公司</v>
      </c>
      <c r="H9" s="17" t="s">
        <v>54</v>
      </c>
    </row>
    <row r="10" spans="1:8" ht="18" customHeight="1">
      <c r="A10" s="2" t="s">
        <v>100</v>
      </c>
      <c r="B10" s="2" t="s">
        <v>121</v>
      </c>
      <c r="C10" s="4">
        <v>1</v>
      </c>
      <c r="D10" s="5">
        <f>COUNTIFS(AI應用場景!A:A,A10,AI應用場景!B:B,B10)</f>
        <v>1</v>
      </c>
      <c r="G10" s="16" t="str">
        <v>友邦人壽</v>
      </c>
      <c r="H10" s="17" t="s">
        <v>59</v>
      </c>
    </row>
    <row r="11" spans="1:8" ht="18" customHeight="1">
      <c r="A11" s="2" t="s">
        <v>100</v>
      </c>
      <c r="B11" s="2" t="s">
        <v>123</v>
      </c>
      <c r="C11" s="4">
        <v>2</v>
      </c>
      <c r="D11" s="5">
        <f>COUNTIFS(AI應用場景!A:A,A11,AI應用場景!B:B,B11)</f>
        <v>6</v>
      </c>
      <c r="G11" s="16" t="str">
        <v>王道銀行</v>
      </c>
      <c r="H11" s="17" t="s">
        <v>64</v>
      </c>
    </row>
    <row r="12" spans="1:8" ht="18" customHeight="1">
      <c r="A12" s="2" t="s">
        <v>100</v>
      </c>
      <c r="B12" s="2" t="s">
        <v>129</v>
      </c>
      <c r="C12" s="4">
        <v>2</v>
      </c>
      <c r="D12" s="5">
        <f>COUNTIFS(AI應用場景!A:A,A12,AI應用場景!B:B,B12)</f>
        <v>1</v>
      </c>
      <c r="G12" s="16" t="str">
        <v>台中銀行</v>
      </c>
      <c r="H12" s="17" t="s">
        <v>69</v>
      </c>
    </row>
    <row r="13" spans="1:8" ht="18" customHeight="1">
      <c r="A13" s="2" t="s">
        <v>100</v>
      </c>
      <c r="B13" s="2" t="s">
        <v>131</v>
      </c>
      <c r="C13" s="4">
        <v>2</v>
      </c>
      <c r="D13" s="5">
        <f>COUNTIFS(AI應用場景!A:A,A13,AI應用場景!B:B,B13)</f>
        <v>2</v>
      </c>
      <c r="G13" s="16" t="str">
        <v>台北富邦銀行</v>
      </c>
      <c r="H13" s="17" t="s">
        <v>74</v>
      </c>
    </row>
    <row r="14" spans="1:8" ht="18" customHeight="1">
      <c r="A14" s="2" t="s">
        <v>100</v>
      </c>
      <c r="B14" s="2" t="s">
        <v>133</v>
      </c>
      <c r="C14" s="4">
        <v>2</v>
      </c>
      <c r="D14" s="5">
        <f>COUNTIFS(AI應用場景!A:A,A14,AI應用場景!B:B,B14)</f>
        <v>1</v>
      </c>
      <c r="G14" s="16" t="str">
        <v>台新銀行</v>
      </c>
      <c r="H14" s="17" t="s">
        <v>78</v>
      </c>
    </row>
    <row r="15" spans="1:8" ht="18" customHeight="1">
      <c r="A15" s="2" t="s">
        <v>100</v>
      </c>
      <c r="B15" s="2" t="s">
        <v>135</v>
      </c>
      <c r="C15" s="4">
        <v>2</v>
      </c>
      <c r="D15" s="5">
        <f>COUNTIFS(AI應用場景!A:A,A15,AI應用場景!B:B,B15)</f>
        <v>2</v>
      </c>
      <c r="G15" s="16" t="str">
        <v>台新證券</v>
      </c>
      <c r="H15" s="17" t="s">
        <v>84</v>
      </c>
    </row>
    <row r="16" spans="1:8" ht="18" customHeight="1">
      <c r="A16" s="2" t="s">
        <v>100</v>
      </c>
      <c r="B16" s="2" t="s">
        <v>137</v>
      </c>
      <c r="C16" s="4">
        <v>2</v>
      </c>
      <c r="D16" s="5">
        <f>COUNTIFS(AI應用場景!A:A,A16,AI應用場景!B:B,B16)</f>
        <v>3</v>
      </c>
      <c r="G16" s="16" t="str">
        <v>台灣人壽</v>
      </c>
      <c r="H16" s="17" t="s">
        <v>87</v>
      </c>
    </row>
    <row r="17" spans="1:7" ht="18" customHeight="1">
      <c r="A17" s="2" t="s">
        <v>100</v>
      </c>
      <c r="B17" s="2" t="s">
        <v>140</v>
      </c>
      <c r="C17" s="4">
        <v>2</v>
      </c>
      <c r="D17" s="5">
        <f>COUNTIFS(AI應用場景!A:A,A17,AI應用場景!B:B,B17)</f>
        <v>1</v>
      </c>
      <c r="G17" s="16" t="str">
        <v>永達保險經紀人股份有限公司</v>
      </c>
    </row>
    <row r="18" spans="1:7" ht="18" customHeight="1">
      <c r="A18" s="2" t="s">
        <v>100</v>
      </c>
      <c r="B18" s="2" t="s">
        <v>142</v>
      </c>
      <c r="C18" s="4">
        <v>2</v>
      </c>
      <c r="D18" s="5">
        <f>COUNTIFS(AI應用場景!A:A,A18,AI應用場景!B:B,B18)</f>
        <v>1</v>
      </c>
      <c r="G18" s="16" t="str">
        <v>永豐投顧</v>
      </c>
    </row>
    <row r="19" spans="1:7" ht="18" customHeight="1">
      <c r="A19" s="2" t="s">
        <v>100</v>
      </c>
      <c r="B19" s="2" t="s">
        <v>144</v>
      </c>
      <c r="C19" s="4">
        <v>2</v>
      </c>
      <c r="D19" s="5">
        <f>COUNTIFS(AI應用場景!A:A,A19,AI應用場景!B:B,B19)</f>
        <v>5</v>
      </c>
      <c r="G19" s="16" t="str">
        <v>永豐金證券</v>
      </c>
    </row>
    <row r="20" spans="1:7" ht="18" customHeight="1">
      <c r="A20" s="2" t="s">
        <v>100</v>
      </c>
      <c r="B20" s="2" t="s">
        <v>148</v>
      </c>
      <c r="C20" s="4" t="s">
        <v>357</v>
      </c>
      <c r="D20" s="5">
        <f>COUNTIFS(AI應用場景!A:A,A20,AI應用場景!B:B,B20)</f>
        <v>6</v>
      </c>
      <c r="G20" s="16" t="str">
        <v>永豐銀行</v>
      </c>
    </row>
    <row r="21" spans="1:7" ht="18" customHeight="1">
      <c r="A21" s="2" t="s">
        <v>100</v>
      </c>
      <c r="B21" s="2" t="s">
        <v>154</v>
      </c>
      <c r="C21" s="4">
        <v>3</v>
      </c>
      <c r="D21" s="5">
        <f>COUNTIFS(AI應用場景!A:A,A21,AI應用場景!B:B,B21)</f>
        <v>1</v>
      </c>
      <c r="G21" s="16" t="str">
        <v>玉山金控</v>
      </c>
    </row>
    <row r="22" spans="1:7" ht="18" customHeight="1">
      <c r="A22" s="2" t="s">
        <v>100</v>
      </c>
      <c r="B22" s="2" t="s">
        <v>156</v>
      </c>
      <c r="C22" s="4">
        <v>3</v>
      </c>
      <c r="D22" s="5">
        <f>COUNTIFS(AI應用場景!A:A,A22,AI應用場景!B:B,B22)</f>
        <v>1</v>
      </c>
      <c r="G22" s="16" t="str">
        <v>玉山銀行</v>
      </c>
    </row>
    <row r="23" spans="1:7" ht="18" customHeight="1">
      <c r="A23" s="2" t="s">
        <v>100</v>
      </c>
      <c r="B23" s="2" t="s">
        <v>158</v>
      </c>
      <c r="C23" s="4">
        <v>3</v>
      </c>
      <c r="D23" s="5">
        <f>COUNTIFS(AI應用場景!A:A,A23,AI應用場景!B:B,B23)</f>
        <v>2</v>
      </c>
      <c r="G23" s="16" t="str">
        <v>玉山證券</v>
      </c>
    </row>
    <row r="24" spans="1:7" ht="18" customHeight="1">
      <c r="A24" s="2" t="s">
        <v>100</v>
      </c>
      <c r="B24" s="2" t="s">
        <v>161</v>
      </c>
      <c r="C24" s="4">
        <v>3</v>
      </c>
      <c r="D24" s="5">
        <f>COUNTIFS(AI應用場景!A:A,A24,AI應用場景!B:B,B24)</f>
        <v>1</v>
      </c>
      <c r="G24" s="16" t="str">
        <v>兆豐產險</v>
      </c>
    </row>
    <row r="25" spans="1:7" ht="18" customHeight="1">
      <c r="A25" s="2" t="s">
        <v>100</v>
      </c>
      <c r="B25" s="2" t="s">
        <v>163</v>
      </c>
      <c r="C25" s="4">
        <v>3</v>
      </c>
      <c r="D25" s="5">
        <f>COUNTIFS(AI應用場景!A:A,A25,AI應用場景!B:B,B25)</f>
        <v>4</v>
      </c>
      <c r="G25" s="16" t="str">
        <v>兆豐銀行</v>
      </c>
    </row>
    <row r="26" spans="1:7" ht="18" customHeight="1">
      <c r="A26" s="2" t="s">
        <v>100</v>
      </c>
      <c r="B26" s="2" t="s">
        <v>168</v>
      </c>
      <c r="C26" s="4">
        <v>3</v>
      </c>
      <c r="D26" s="5">
        <f>COUNTIFS(AI應用場景!A:A,A26,AI應用場景!B:B,B26)</f>
        <v>2</v>
      </c>
      <c r="G26" s="16" t="str">
        <v>全支付公司</v>
      </c>
    </row>
    <row r="27" spans="1:7" ht="18" customHeight="1">
      <c r="A27" s="2" t="s">
        <v>171</v>
      </c>
      <c r="B27" s="2" t="s">
        <v>172</v>
      </c>
      <c r="C27" s="4">
        <v>3</v>
      </c>
      <c r="D27" s="5">
        <f>COUNTIFS(AI應用場景!A:A,A27,AI應用場景!B:B,B27)</f>
        <v>4</v>
      </c>
      <c r="G27" s="16" t="str">
        <v>全盈支付</v>
      </c>
    </row>
    <row r="28" spans="1:7" ht="18" customHeight="1">
      <c r="A28" s="2" t="s">
        <v>171</v>
      </c>
      <c r="B28" s="2" t="s">
        <v>177</v>
      </c>
      <c r="C28" s="4">
        <v>3</v>
      </c>
      <c r="D28" s="5">
        <f>COUNTIFS(AI應用場景!A:A,A28,AI應用場景!B:B,B28)</f>
        <v>4</v>
      </c>
      <c r="G28" s="16" t="str">
        <v>全球人壽</v>
      </c>
    </row>
    <row r="29" spans="1:7" ht="18" customHeight="1">
      <c r="A29" s="2" t="s">
        <v>171</v>
      </c>
      <c r="B29" s="2" t="s">
        <v>181</v>
      </c>
      <c r="C29" s="4">
        <v>3</v>
      </c>
      <c r="D29" s="5">
        <f>COUNTIFS(AI應用場景!A:A,A29,AI應用場景!B:B,B29)</f>
        <v>1</v>
      </c>
      <c r="G29" s="16" t="str">
        <v>合作金庫銀行</v>
      </c>
    </row>
    <row r="30" spans="1:7" ht="18" customHeight="1">
      <c r="A30" s="2" t="s">
        <v>171</v>
      </c>
      <c r="B30" s="2" t="s">
        <v>183</v>
      </c>
      <c r="C30" s="4">
        <v>3</v>
      </c>
      <c r="D30" s="5">
        <f>COUNTIFS(AI應用場景!A:A,A30,AI應用場景!B:B,B30)</f>
        <v>3</v>
      </c>
      <c r="G30" s="16" t="str">
        <v>存保公司</v>
      </c>
    </row>
    <row r="31" spans="1:7" ht="18" customHeight="1">
      <c r="A31" s="2" t="s">
        <v>171</v>
      </c>
      <c r="B31" s="2" t="s">
        <v>186</v>
      </c>
      <c r="C31" s="4" t="s">
        <v>358</v>
      </c>
      <c r="D31" s="5">
        <f>COUNTIFS(AI應用場景!A:A,A31,AI應用場景!B:B,B31)</f>
        <v>7</v>
      </c>
      <c r="G31" s="16" t="str">
        <v>和安保險代理人股份有限公司</v>
      </c>
    </row>
    <row r="32" spans="1:7" ht="18" customHeight="1">
      <c r="A32" s="2" t="s">
        <v>171</v>
      </c>
      <c r="B32" s="2" t="s">
        <v>193</v>
      </c>
      <c r="C32" s="4">
        <v>4</v>
      </c>
      <c r="D32" s="5">
        <f>COUNTIFS(AI應用場景!A:A,A32,AI應用場景!B:B,B32)</f>
        <v>2</v>
      </c>
      <c r="G32" s="16" t="str">
        <v>東方匯理投信</v>
      </c>
    </row>
    <row r="33" spans="1:7" ht="18" customHeight="1">
      <c r="A33" s="2" t="s">
        <v>171</v>
      </c>
      <c r="B33" s="2" t="s">
        <v>196</v>
      </c>
      <c r="C33" s="4">
        <v>4</v>
      </c>
      <c r="D33" s="5">
        <f>COUNTIFS(AI應用場景!A:A,A33,AI應用場景!B:B,B33)</f>
        <v>3</v>
      </c>
      <c r="G33" s="16" t="str">
        <v>法盛投顧</v>
      </c>
    </row>
    <row r="34" spans="1:7" ht="18" customHeight="1">
      <c r="A34" s="2" t="s">
        <v>171</v>
      </c>
      <c r="B34" s="2" t="s">
        <v>199</v>
      </c>
      <c r="C34" s="4">
        <v>4</v>
      </c>
      <c r="D34" s="5">
        <f>COUNTIFS(AI應用場景!A:A,A34,AI應用場景!B:B,B34)</f>
        <v>1</v>
      </c>
      <c r="G34" s="16" t="str">
        <v>金融研訓院</v>
      </c>
    </row>
    <row r="35" spans="1:7" ht="18" customHeight="1">
      <c r="A35" s="2" t="s">
        <v>171</v>
      </c>
      <c r="B35" s="2" t="s">
        <v>201</v>
      </c>
      <c r="C35" s="4">
        <v>4</v>
      </c>
      <c r="D35" s="5">
        <f>COUNTIFS(AI應用場景!A:A,A35,AI應用場景!B:B,B35)</f>
        <v>4</v>
      </c>
      <c r="G35" s="16" t="str">
        <v>阿爾發投顧</v>
      </c>
    </row>
    <row r="36" spans="1:7" ht="18" customHeight="1">
      <c r="A36" s="2" t="s">
        <v>171</v>
      </c>
      <c r="B36" s="2" t="s">
        <v>206</v>
      </c>
      <c r="C36" s="4">
        <v>4</v>
      </c>
      <c r="D36" s="5">
        <f>COUNTIFS(AI應用場景!A:A,A36,AI應用場景!B:B,B36)</f>
        <v>1</v>
      </c>
      <c r="G36" s="16" t="str">
        <v>保誠人壽</v>
      </c>
    </row>
    <row r="37" spans="1:7" ht="18" customHeight="1">
      <c r="A37" s="2" t="s">
        <v>171</v>
      </c>
      <c r="B37" s="2" t="s">
        <v>208</v>
      </c>
      <c r="C37" s="4">
        <v>4</v>
      </c>
      <c r="D37" s="5">
        <f>COUNTIFS(AI應用場景!A:A,A37,AI應用場景!B:B,B37)</f>
        <v>1</v>
      </c>
      <c r="G37" s="16" t="str">
        <v>南山人壽</v>
      </c>
    </row>
    <row r="38" spans="1:7" ht="18" customHeight="1">
      <c r="A38" s="2" t="s">
        <v>171</v>
      </c>
      <c r="B38" s="2" t="s">
        <v>210</v>
      </c>
      <c r="C38" s="4">
        <v>4</v>
      </c>
      <c r="D38" s="5">
        <f>COUNTIFS(AI應用場景!A:A,A38,AI應用場景!B:B,B38)</f>
        <v>1</v>
      </c>
      <c r="G38" s="16" t="str">
        <v>科法斯產險</v>
      </c>
    </row>
    <row r="39" spans="1:7" ht="18" customHeight="1">
      <c r="A39" s="2" t="s">
        <v>171</v>
      </c>
      <c r="B39" s="2" t="s">
        <v>212</v>
      </c>
      <c r="C39" s="4">
        <v>4</v>
      </c>
      <c r="D39" s="5">
        <f>COUNTIFS(AI應用場景!A:A,A39,AI應用場景!B:B,B39)</f>
        <v>1</v>
      </c>
      <c r="G39" s="16" t="str">
        <v>科隆再保公司</v>
      </c>
    </row>
    <row r="40" spans="1:7" ht="18" customHeight="1">
      <c r="A40" s="2" t="s">
        <v>171</v>
      </c>
      <c r="B40" s="2" t="s">
        <v>214</v>
      </c>
      <c r="C40" s="4">
        <v>4</v>
      </c>
      <c r="D40" s="5">
        <f>COUNTIFS(AI應用場景!A:A,A40,AI應用場景!B:B,B40)</f>
        <v>1</v>
      </c>
      <c r="G40" s="16" t="str">
        <v>美商達信保險經紀人股份有限公司台灣分公司</v>
      </c>
    </row>
    <row r="41" spans="1:7" ht="18" customHeight="1">
      <c r="A41" s="2" t="s">
        <v>171</v>
      </c>
      <c r="B41" s="2" t="s">
        <v>216</v>
      </c>
      <c r="C41" s="4">
        <v>4</v>
      </c>
      <c r="D41" s="5">
        <f>COUNTIFS(AI應用場景!A:A,A41,AI應用場景!B:B,B41)</f>
        <v>1</v>
      </c>
      <c r="G41" s="16" t="str">
        <v>財團法人汽車交通事故特別補償基金</v>
      </c>
    </row>
    <row r="42" spans="1:7" ht="18" customHeight="1">
      <c r="A42" s="2" t="s">
        <v>171</v>
      </c>
      <c r="B42" s="2" t="s">
        <v>218</v>
      </c>
      <c r="C42" s="4">
        <v>4</v>
      </c>
      <c r="D42" s="5">
        <f>COUNTIFS(AI應用場景!A:A,A42,AI應用場景!B:B,B42)</f>
        <v>1</v>
      </c>
      <c r="G42" s="16" t="str">
        <v>國泰人壽</v>
      </c>
    </row>
    <row r="43" spans="1:7" ht="18" customHeight="1">
      <c r="A43" s="2" t="s">
        <v>171</v>
      </c>
      <c r="B43" s="2" t="s">
        <v>220</v>
      </c>
      <c r="C43" s="4">
        <v>4</v>
      </c>
      <c r="D43" s="5">
        <f>COUNTIFS(AI應用場景!A:A,A43,AI應用場景!B:B,B43)</f>
        <v>2</v>
      </c>
      <c r="G43" s="16" t="str">
        <v>國泰世華銀行</v>
      </c>
    </row>
    <row r="44" spans="1:7" ht="18" customHeight="1">
      <c r="A44" s="2" t="s">
        <v>171</v>
      </c>
      <c r="B44" s="2" t="s">
        <v>222</v>
      </c>
      <c r="C44" s="4">
        <v>4</v>
      </c>
      <c r="D44" s="5">
        <f>COUNTIFS(AI應用場景!A:A,A44,AI應用場景!B:B,B44)</f>
        <v>1</v>
      </c>
      <c r="G44" s="16" t="str">
        <v>國泰金控</v>
      </c>
    </row>
    <row r="45" spans="1:7" ht="18" customHeight="1">
      <c r="A45" s="2" t="s">
        <v>171</v>
      </c>
      <c r="B45" s="2" t="s">
        <v>224</v>
      </c>
      <c r="C45" s="4">
        <v>5</v>
      </c>
      <c r="D45" s="5">
        <f>COUNTIFS(AI應用場景!A:A,A45,AI應用場景!B:B,B45)</f>
        <v>2</v>
      </c>
      <c r="G45" s="16" t="str">
        <v>國泰產險</v>
      </c>
    </row>
    <row r="46" spans="1:7" ht="18" customHeight="1">
      <c r="A46" s="2" t="s">
        <v>171</v>
      </c>
      <c r="B46" s="2" t="s">
        <v>227</v>
      </c>
      <c r="C46" s="4">
        <v>5</v>
      </c>
      <c r="D46" s="5">
        <f>COUNTIFS(AI應用場景!A:A,A46,AI應用場景!B:B,B46)</f>
        <v>1</v>
      </c>
      <c r="G46" s="16" t="str">
        <v>國泰證券</v>
      </c>
    </row>
    <row r="47" spans="1:7" ht="18" customHeight="1">
      <c r="A47" s="2" t="s">
        <v>171</v>
      </c>
      <c r="B47" s="2" t="s">
        <v>229</v>
      </c>
      <c r="C47" s="4">
        <v>5</v>
      </c>
      <c r="D47" s="5">
        <f>COUNTIFS(AI應用場景!A:A,A47,AI應用場景!B:B,B47)</f>
        <v>2</v>
      </c>
      <c r="G47" s="16" t="str">
        <v>國票綜合證券</v>
      </c>
    </row>
    <row r="48" spans="1:7" ht="18" customHeight="1">
      <c r="A48" s="2" t="s">
        <v>171</v>
      </c>
      <c r="B48" s="2" t="s">
        <v>231</v>
      </c>
      <c r="C48" s="4">
        <v>5</v>
      </c>
      <c r="D48" s="5">
        <f>COUNTIFS(AI應用場景!A:A,A48,AI應用場景!B:B,B48)</f>
        <v>3</v>
      </c>
      <c r="G48" s="16" t="str">
        <v>將來銀行</v>
      </c>
    </row>
    <row r="49" spans="1:7" ht="18" customHeight="1">
      <c r="A49" s="2" t="s">
        <v>171</v>
      </c>
      <c r="B49" s="2" t="s">
        <v>233</v>
      </c>
      <c r="C49" s="4">
        <v>5</v>
      </c>
      <c r="D49" s="5">
        <f>COUNTIFS(AI應用場景!A:A,A49,AI應用場景!B:B,B49)</f>
        <v>4</v>
      </c>
      <c r="G49" s="16" t="str">
        <v>第一銀行</v>
      </c>
    </row>
    <row r="50" spans="1:7" ht="18" customHeight="1">
      <c r="A50" s="2" t="s">
        <v>171</v>
      </c>
      <c r="B50" s="2" t="s">
        <v>238</v>
      </c>
      <c r="C50" s="4">
        <v>5</v>
      </c>
      <c r="D50" s="5">
        <f>COUNTIFS(AI應用場景!A:A,A50,AI應用場景!B:B,B50)</f>
        <v>1</v>
      </c>
      <c r="G50" s="16" t="str">
        <v>統一期貨</v>
      </c>
    </row>
    <row r="51" spans="1:7" ht="18" customHeight="1">
      <c r="A51" s="2" t="s">
        <v>171</v>
      </c>
      <c r="B51" s="2" t="s">
        <v>240</v>
      </c>
      <c r="C51" s="4">
        <v>5</v>
      </c>
      <c r="D51" s="5">
        <f>COUNTIFS(AI應用場景!A:A,A51,AI應用場景!B:B,B51)</f>
        <v>1</v>
      </c>
      <c r="G51" s="16" t="str">
        <v>統一證券</v>
      </c>
    </row>
    <row r="52" spans="1:7" ht="18" customHeight="1">
      <c r="A52" s="2" t="s">
        <v>171</v>
      </c>
      <c r="B52" s="2" t="s">
        <v>242</v>
      </c>
      <c r="C52" s="4">
        <v>5</v>
      </c>
      <c r="D52" s="5">
        <f>COUNTIFS(AI應用場景!A:A,A52,AI應用場景!B:B,B52)</f>
        <v>2</v>
      </c>
      <c r="G52" s="16" t="str">
        <v>連線銀行</v>
      </c>
    </row>
    <row r="53" spans="1:7" ht="18" customHeight="1">
      <c r="A53" s="2" t="s">
        <v>245</v>
      </c>
      <c r="B53" s="2" t="s">
        <v>246</v>
      </c>
      <c r="C53" s="4">
        <v>5</v>
      </c>
      <c r="D53" s="5">
        <f>COUNTIFS(AI應用場景!A:A,A53,AI應用場景!B:B,B53)</f>
        <v>2</v>
      </c>
      <c r="G53" s="16" t="str">
        <v>野村投信</v>
      </c>
    </row>
    <row r="54" spans="1:7" ht="18" customHeight="1">
      <c r="A54" s="2" t="s">
        <v>245</v>
      </c>
      <c r="B54" s="2" t="s">
        <v>249</v>
      </c>
      <c r="C54" s="4">
        <v>5</v>
      </c>
      <c r="D54" s="5">
        <f>COUNTIFS(AI應用場景!A:A,A54,AI應用場景!B:B,B54)</f>
        <v>1</v>
      </c>
      <c r="G54" s="16" t="str">
        <v>凱基人壽</v>
      </c>
    </row>
    <row r="55" spans="1:7" ht="18" customHeight="1">
      <c r="A55" s="2" t="s">
        <v>245</v>
      </c>
      <c r="B55" s="2" t="s">
        <v>251</v>
      </c>
      <c r="C55" s="4">
        <v>5</v>
      </c>
      <c r="D55" s="5">
        <f>COUNTIFS(AI應用場景!A:A,A55,AI應用場景!B:B,B55)</f>
        <v>1</v>
      </c>
      <c r="G55" s="16" t="str">
        <v>凱基銀行</v>
      </c>
    </row>
    <row r="56" spans="1:7" ht="18" customHeight="1">
      <c r="A56" s="2" t="s">
        <v>245</v>
      </c>
      <c r="B56" s="2" t="s">
        <v>253</v>
      </c>
      <c r="C56" s="4">
        <v>5</v>
      </c>
      <c r="D56" s="5">
        <f>COUNTIFS(AI應用場景!A:A,A56,AI應用場景!B:B,B56)</f>
        <v>2</v>
      </c>
      <c r="G56" s="16" t="str">
        <v>凱基證券</v>
      </c>
    </row>
    <row r="57" spans="1:7" ht="18" customHeight="1">
      <c r="A57" s="2" t="s">
        <v>245</v>
      </c>
      <c r="B57" s="2" t="s">
        <v>255</v>
      </c>
      <c r="C57" s="4">
        <v>5</v>
      </c>
      <c r="D57" s="5">
        <f>COUNTIFS(AI應用場景!A:A,A57,AI應用場景!B:B,B57)</f>
        <v>2</v>
      </c>
      <c r="G57" s="16" t="str">
        <v>富邦人壽</v>
      </c>
    </row>
    <row r="58" spans="1:7" ht="18" customHeight="1">
      <c r="A58" s="2" t="s">
        <v>245</v>
      </c>
      <c r="B58" s="2" t="s">
        <v>257</v>
      </c>
      <c r="C58" s="4">
        <v>5</v>
      </c>
      <c r="D58" s="5">
        <f>COUNTIFS(AI應用場景!A:A,A58,AI應用場景!B:B,B58)</f>
        <v>1</v>
      </c>
      <c r="G58" s="16" t="str">
        <v>富邦金控</v>
      </c>
    </row>
    <row r="59" spans="1:7" ht="18" customHeight="1">
      <c r="A59" s="2" t="s">
        <v>245</v>
      </c>
      <c r="B59" s="2" t="s">
        <v>259</v>
      </c>
      <c r="C59" s="4">
        <v>5</v>
      </c>
      <c r="D59" s="5">
        <f>COUNTIFS(AI應用場景!A:A,A59,AI應用場景!B:B,B59)</f>
        <v>3</v>
      </c>
      <c r="G59" s="16" t="str">
        <v>富邦產險</v>
      </c>
    </row>
    <row r="60" spans="1:7" ht="18" customHeight="1">
      <c r="A60" s="2" t="s">
        <v>245</v>
      </c>
      <c r="B60" s="2" t="s">
        <v>261</v>
      </c>
      <c r="C60" s="4" t="s">
        <v>359</v>
      </c>
      <c r="D60" s="5">
        <f>COUNTIFS(AI應用場景!A:A,A60,AI應用場景!B:B,B60)</f>
        <v>1</v>
      </c>
      <c r="G60" s="16" t="str">
        <v>富邦期貨</v>
      </c>
    </row>
    <row r="61" spans="1:7" ht="18" customHeight="1">
      <c r="A61" s="2" t="s">
        <v>245</v>
      </c>
      <c r="B61" s="2" t="s">
        <v>263</v>
      </c>
      <c r="C61" s="4">
        <v>6</v>
      </c>
      <c r="D61" s="5">
        <f>COUNTIFS(AI應用場景!A:A,A61,AI應用場景!B:B,B61)</f>
        <v>1</v>
      </c>
      <c r="G61" s="16" t="str">
        <v>富邦綜合保險代理人股份有限公司</v>
      </c>
    </row>
    <row r="62" spans="1:7" ht="18" customHeight="1">
      <c r="A62" s="2" t="s">
        <v>245</v>
      </c>
      <c r="B62" s="2" t="s">
        <v>265</v>
      </c>
      <c r="C62" s="4">
        <v>6</v>
      </c>
      <c r="D62" s="5">
        <f>COUNTIFS(AI應用場景!A:A,A62,AI應用場景!B:B,B62)</f>
        <v>1</v>
      </c>
      <c r="G62" s="16" t="str">
        <v>富邦證券</v>
      </c>
    </row>
    <row r="63" spans="1:7" ht="18" customHeight="1">
      <c r="A63" s="2" t="s">
        <v>245</v>
      </c>
      <c r="B63" s="2" t="s">
        <v>267</v>
      </c>
      <c r="C63" s="4">
        <v>6</v>
      </c>
      <c r="D63" s="5">
        <f>COUNTIFS(AI應用場景!A:A,A63,AI應用場景!B:B,B63)</f>
        <v>1</v>
      </c>
      <c r="G63" s="16" t="str">
        <v>富達投信</v>
      </c>
    </row>
    <row r="64" spans="1:7" ht="18" customHeight="1">
      <c r="A64" s="2" t="s">
        <v>245</v>
      </c>
      <c r="B64" s="2" t="s">
        <v>268</v>
      </c>
      <c r="C64" s="4">
        <v>6</v>
      </c>
      <c r="D64" s="5">
        <f>COUNTIFS(AI應用場景!A:A,A64,AI應用場景!B:B,B64)</f>
        <v>4</v>
      </c>
      <c r="G64" s="16" t="str">
        <v>富蘭克林投顧</v>
      </c>
    </row>
    <row r="65" spans="1:7" ht="18" customHeight="1">
      <c r="A65" s="2" t="s">
        <v>245</v>
      </c>
      <c r="B65" s="2" t="s">
        <v>272</v>
      </c>
      <c r="C65" s="4">
        <v>6</v>
      </c>
      <c r="D65" s="5">
        <f>COUNTIFS(AI應用場景!A:A,A65,AI應用場景!B:B,B65)</f>
        <v>1</v>
      </c>
      <c r="G65" s="16" t="str">
        <v>復華投信</v>
      </c>
    </row>
    <row r="66" spans="1:7" ht="18" customHeight="1">
      <c r="A66" s="2" t="s">
        <v>245</v>
      </c>
      <c r="B66" s="2" t="s">
        <v>274</v>
      </c>
      <c r="C66" s="4">
        <v>6</v>
      </c>
      <c r="D66" s="5">
        <f>COUNTIFS(AI應用場景!A:A,A66,AI應用場景!B:B,B66)</f>
        <v>1</v>
      </c>
      <c r="G66" s="16" t="str">
        <v>景順投信</v>
      </c>
    </row>
    <row r="67" spans="1:7" ht="18" customHeight="1">
      <c r="A67" s="2" t="s">
        <v>245</v>
      </c>
      <c r="B67" s="2" t="s">
        <v>276</v>
      </c>
      <c r="C67" s="4">
        <v>6</v>
      </c>
      <c r="D67" s="5">
        <f>COUNTIFS(AI應用場景!A:A,A67,AI應用場景!B:B,B67)</f>
        <v>1</v>
      </c>
      <c r="G67" s="16" t="str">
        <v>智匯保險經紀人股份有限公司</v>
      </c>
    </row>
    <row r="68" spans="1:7" ht="18" customHeight="1">
      <c r="A68" s="2" t="s">
        <v>245</v>
      </c>
      <c r="B68" s="2" t="s">
        <v>278</v>
      </c>
      <c r="C68" s="4">
        <v>6</v>
      </c>
      <c r="D68" s="5">
        <f>COUNTIFS(AI應用場景!A:A,A68,AI應用場景!B:B,B68)</f>
        <v>4</v>
      </c>
      <c r="G68" s="16" t="str">
        <v>期貨交易所</v>
      </c>
    </row>
    <row r="69" spans="1:7" ht="18" customHeight="1">
      <c r="A69" s="2" t="s">
        <v>245</v>
      </c>
      <c r="B69" s="2" t="s">
        <v>283</v>
      </c>
      <c r="C69" s="4">
        <v>6</v>
      </c>
      <c r="D69" s="5">
        <f>COUNTIFS(AI應用場景!A:A,A69,AI應用場景!B:B,B69)</f>
        <v>1</v>
      </c>
      <c r="G69" s="16" t="str">
        <v>渣打銀行</v>
      </c>
    </row>
    <row r="70" spans="1:7" ht="18" customHeight="1">
      <c r="A70" s="2" t="s">
        <v>245</v>
      </c>
      <c r="B70" s="2" t="s">
        <v>285</v>
      </c>
      <c r="C70" s="4">
        <v>6</v>
      </c>
      <c r="D70" s="5">
        <f>COUNTIFS(AI應用場景!A:A,A70,AI應用場景!B:B,B70)</f>
        <v>1</v>
      </c>
      <c r="G70" s="16" t="str">
        <v>華南銀行</v>
      </c>
    </row>
    <row r="71" spans="1:7" ht="18" customHeight="1">
      <c r="A71" s="2" t="s">
        <v>245</v>
      </c>
      <c r="B71" s="2" t="s">
        <v>287</v>
      </c>
      <c r="C71" s="4">
        <v>7</v>
      </c>
      <c r="D71" s="5">
        <f>COUNTIFS(AI應用場景!A:A,A71,AI應用場景!B:B,B71)</f>
        <v>2</v>
      </c>
      <c r="G71" s="16" t="str">
        <v>華南證券</v>
      </c>
    </row>
    <row r="72" spans="1:7" ht="18" customHeight="1">
      <c r="A72" s="2" t="s">
        <v>245</v>
      </c>
      <c r="B72" s="2" t="s">
        <v>290</v>
      </c>
      <c r="C72" s="4">
        <v>7</v>
      </c>
      <c r="D72" s="5">
        <f>COUNTIFS(AI應用場景!A:A,A72,AI應用場景!B:B,B72)</f>
        <v>1</v>
      </c>
      <c r="G72" s="16" t="str">
        <v>新光人壽</v>
      </c>
    </row>
    <row r="73" spans="1:7" ht="18" customHeight="1">
      <c r="A73" s="2" t="s">
        <v>245</v>
      </c>
      <c r="B73" s="2" t="s">
        <v>292</v>
      </c>
      <c r="C73" s="4">
        <v>7</v>
      </c>
      <c r="D73" s="5">
        <f>COUNTIFS(AI應用場景!A:A,A73,AI應用場景!B:B,B73)</f>
        <v>1</v>
      </c>
      <c r="G73" s="16" t="str">
        <v>新安東京產險</v>
      </c>
    </row>
    <row r="74" spans="1:7" ht="18" customHeight="1">
      <c r="A74" s="2" t="s">
        <v>245</v>
      </c>
      <c r="B74" s="2" t="s">
        <v>294</v>
      </c>
      <c r="C74" s="4">
        <v>7</v>
      </c>
      <c r="D74" s="5">
        <f>COUNTIFS(AI應用場景!A:A,A74,AI應用場景!B:B,B74)</f>
        <v>2</v>
      </c>
      <c r="G74" s="16" t="str">
        <v>滙豐銀行</v>
      </c>
    </row>
    <row r="75" spans="1:7" ht="18" customHeight="1">
      <c r="A75" s="2" t="s">
        <v>245</v>
      </c>
      <c r="B75" s="2" t="s">
        <v>297</v>
      </c>
      <c r="C75" s="4">
        <v>7</v>
      </c>
      <c r="D75" s="5">
        <f>COUNTIFS(AI應用場景!A:A,A75,AI應用場景!B:B,B75)</f>
        <v>1</v>
      </c>
      <c r="G75" s="16" t="str">
        <v>瑞銀投信</v>
      </c>
    </row>
    <row r="76" spans="1:7" ht="18" customHeight="1">
      <c r="A76" s="2" t="s">
        <v>245</v>
      </c>
      <c r="B76" s="2" t="s">
        <v>299</v>
      </c>
      <c r="C76" s="4">
        <v>7</v>
      </c>
      <c r="D76" s="5">
        <f>COUNTIFS(AI應用場景!A:A,A76,AI應用場景!B:B,B76)</f>
        <v>1</v>
      </c>
      <c r="G76" s="16" t="str">
        <v>群益投信</v>
      </c>
    </row>
    <row r="77" spans="1:7" ht="18" customHeight="1">
      <c r="A77" s="2" t="s">
        <v>245</v>
      </c>
      <c r="B77" s="2" t="s">
        <v>301</v>
      </c>
      <c r="C77" s="4">
        <v>7</v>
      </c>
      <c r="D77" s="5">
        <f>COUNTIFS(AI應用場景!A:A,A77,AI應用場景!B:B,B77)</f>
        <v>1</v>
      </c>
      <c r="G77" s="16" t="str">
        <v>群益期貨</v>
      </c>
    </row>
    <row r="78" spans="1:7" ht="18" customHeight="1">
      <c r="A78" s="2" t="s">
        <v>245</v>
      </c>
      <c r="B78" s="2" t="s">
        <v>303</v>
      </c>
      <c r="C78" s="4">
        <v>7</v>
      </c>
      <c r="D78" s="5">
        <f>COUNTIFS(AI應用場景!A:A,A78,AI應用場景!B:B,B78)</f>
        <v>1</v>
      </c>
      <c r="G78" s="16" t="str">
        <v>路博邁投信</v>
      </c>
    </row>
    <row r="79" spans="1:7" ht="18" customHeight="1">
      <c r="A79" s="2" t="s">
        <v>245</v>
      </c>
      <c r="B79" s="2" t="s">
        <v>305</v>
      </c>
      <c r="C79" s="4">
        <v>7</v>
      </c>
      <c r="D79" s="5">
        <f>COUNTIFS(AI應用場景!A:A,A79,AI應用場景!B:B,B79)</f>
        <v>1</v>
      </c>
      <c r="G79" s="16" t="str">
        <v>彰化銀行</v>
      </c>
    </row>
    <row r="80" spans="1:7" ht="18" customHeight="1">
      <c r="A80" s="2" t="s">
        <v>245</v>
      </c>
      <c r="B80" s="2" t="s">
        <v>307</v>
      </c>
      <c r="C80" s="4">
        <v>7</v>
      </c>
      <c r="D80" s="5">
        <f>COUNTIFS(AI應用場景!A:A,A80,AI應用場景!B:B,B80)</f>
        <v>1</v>
      </c>
      <c r="G80" s="16" t="str">
        <v>臺灣中小企業銀行</v>
      </c>
    </row>
    <row r="81" spans="1:7" ht="18" customHeight="1">
      <c r="A81" s="2" t="s">
        <v>245</v>
      </c>
      <c r="B81" s="2" t="s">
        <v>309</v>
      </c>
      <c r="C81" s="4">
        <v>7</v>
      </c>
      <c r="D81" s="5">
        <f>COUNTIFS(AI應用場景!A:A,A81,AI應用場景!B:B,B81)</f>
        <v>1</v>
      </c>
      <c r="G81" s="16" t="str">
        <v>臺灣中小企銀</v>
      </c>
    </row>
    <row r="82" spans="1:7" ht="18" customHeight="1">
      <c r="A82" s="2" t="s">
        <v>100</v>
      </c>
      <c r="B82" s="2" t="s">
        <v>311</v>
      </c>
      <c r="C82" s="4" t="s">
        <v>360</v>
      </c>
      <c r="D82" s="5">
        <f>COUNTIF(AI應用場景!B:B, B82)</f>
        <v>2</v>
      </c>
      <c r="G82" s="16" t="str">
        <v>臺灣金控</v>
      </c>
    </row>
    <row r="83" spans="1:7" ht="18" customHeight="1">
      <c r="A83" s="2" t="s">
        <v>245</v>
      </c>
      <c r="B83" s="2" t="s">
        <v>320</v>
      </c>
      <c r="C83" s="4" t="s">
        <v>360</v>
      </c>
      <c r="D83" s="5">
        <f>COUNTIF(AI應用場景!B:B, B83)</f>
        <v>1</v>
      </c>
      <c r="G83" s="16" t="str">
        <v>臺灣銀行</v>
      </c>
    </row>
    <row r="84" spans="1:7" ht="18" customHeight="1">
      <c r="A84" s="2" t="s">
        <v>100</v>
      </c>
      <c r="B84" s="2" t="s">
        <v>328</v>
      </c>
      <c r="C84" s="4" t="s">
        <v>360</v>
      </c>
      <c r="D84" s="5">
        <f>COUNTIFS(AI應用場景!A:A,A84,AI應用場景!B:B,B84)</f>
        <v>1</v>
      </c>
      <c r="G84" s="16"/>
    </row>
    <row r="85" spans="1:7" ht="18" customHeight="1">
      <c r="A85" s="2" t="s">
        <v>100</v>
      </c>
      <c r="B85" s="2" t="s">
        <v>331</v>
      </c>
      <c r="C85" s="4" t="s">
        <v>360</v>
      </c>
      <c r="D85" s="5">
        <f>COUNTIFS(AI應用場景!A:A,A85,AI應用場景!B:B,B85)</f>
        <v>2</v>
      </c>
    </row>
    <row r="86" spans="1:7" ht="18">
      <c r="A86" s="2" t="s">
        <v>100</v>
      </c>
      <c r="B86" s="2" t="s">
        <v>335</v>
      </c>
      <c r="C86" s="4" t="s">
        <v>360</v>
      </c>
      <c r="D86" s="5">
        <f>COUNTIFS(AI應用場景!A:A,A86,AI應用場景!B:B,B86)</f>
        <v>2</v>
      </c>
    </row>
    <row r="87" spans="1:7" ht="18">
      <c r="A87" s="2" t="s">
        <v>245</v>
      </c>
      <c r="B87" s="2" t="s">
        <v>339</v>
      </c>
      <c r="C87" s="4" t="s">
        <v>360</v>
      </c>
      <c r="D87" s="5">
        <f>COUNTIFS(AI應用場景!A:A,A87,AI應用場景!B:B,B87)</f>
        <v>1</v>
      </c>
    </row>
    <row r="88" spans="1:7" ht="18">
      <c r="A88" s="2" t="s">
        <v>100</v>
      </c>
      <c r="B88" s="2" t="s">
        <v>344</v>
      </c>
      <c r="C88" s="4" t="s">
        <v>360</v>
      </c>
      <c r="D88" s="5">
        <f>COUNTIFS(AI應用場景!A:A,A88,AI應用場景!B:B,B88)</f>
        <v>2</v>
      </c>
    </row>
    <row r="89" spans="1:7" ht="18">
      <c r="A89" s="2" t="s">
        <v>100</v>
      </c>
      <c r="B89" s="2" t="s">
        <v>347</v>
      </c>
      <c r="C89" s="4" t="s">
        <v>360</v>
      </c>
      <c r="D89" s="5">
        <f>COUNTIFS(AI應用場景!A:A,A89,AI應用場景!B:B,B89)</f>
        <v>1</v>
      </c>
    </row>
    <row r="90" spans="1:7" ht="18">
      <c r="A90" s="2" t="s">
        <v>100</v>
      </c>
      <c r="B90" s="2" t="s">
        <v>349</v>
      </c>
      <c r="C90" s="4" t="s">
        <v>360</v>
      </c>
      <c r="D90" s="5">
        <f>COUNTIFS(AI應用場景!A:A,A90,AI應用場景!B:B,B90)</f>
        <v>1</v>
      </c>
    </row>
    <row r="91" spans="1:7" ht="18">
      <c r="A91" s="2" t="s">
        <v>245</v>
      </c>
      <c r="B91" s="2" t="s">
        <v>351</v>
      </c>
      <c r="C91" s="4" t="s">
        <v>360</v>
      </c>
      <c r="D91" s="5">
        <f>COUNTIFS(AI應用場景!A:A,A91,AI應用場景!B:B,B91)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tabSelected="1" topLeftCell="A2" workbookViewId="0">
      <selection activeCell="C17" sqref="C17"/>
    </sheetView>
  </sheetViews>
  <sheetFormatPr baseColWidth="10" defaultColWidth="8.83203125" defaultRowHeight="15"/>
  <cols>
    <col min="1" max="1" width="16.6640625" style="13" customWidth="1"/>
    <col min="2" max="2" width="50" style="13" customWidth="1"/>
    <col min="3" max="3" width="80" style="13" customWidth="1"/>
    <col min="4" max="4" width="13.33203125" style="13" customWidth="1"/>
    <col min="6" max="6" width="19.1640625" style="13" customWidth="1"/>
    <col min="7" max="7" width="24.1640625" style="13" customWidth="1"/>
    <col min="8" max="8" width="19.1640625" style="13" customWidth="1"/>
    <col min="9" max="9" width="13.33203125" style="13" customWidth="1"/>
  </cols>
  <sheetData>
    <row r="1" spans="1:9" ht="32" customHeight="1">
      <c r="A1" s="29" t="s">
        <v>0</v>
      </c>
      <c r="B1" s="28"/>
      <c r="C1" s="28"/>
      <c r="D1" s="28"/>
      <c r="F1" s="32" t="s">
        <v>1</v>
      </c>
      <c r="G1" s="28"/>
      <c r="H1" s="28"/>
      <c r="I1" s="28"/>
    </row>
    <row r="2" spans="1:9" ht="72" customHeight="1">
      <c r="A2" s="36" t="s">
        <v>2</v>
      </c>
      <c r="B2" s="28"/>
      <c r="C2" s="28"/>
      <c r="D2" s="28"/>
      <c r="F2" s="34" t="s">
        <v>3</v>
      </c>
      <c r="G2" s="28"/>
      <c r="H2" s="28"/>
      <c r="I2" s="28"/>
    </row>
    <row r="3" spans="1:9" ht="17" customHeight="1">
      <c r="A3" s="1"/>
      <c r="B3" s="1"/>
      <c r="C3" s="1"/>
      <c r="D3" s="1"/>
      <c r="F3" s="18"/>
      <c r="G3" s="18"/>
      <c r="H3" s="18"/>
      <c r="I3" s="18"/>
    </row>
    <row r="4" spans="1:9" ht="18" customHeight="1">
      <c r="A4" s="9" t="s">
        <v>4</v>
      </c>
      <c r="B4" s="9" t="s">
        <v>5</v>
      </c>
      <c r="C4" s="9" t="s">
        <v>6</v>
      </c>
      <c r="D4" s="9" t="s">
        <v>7</v>
      </c>
      <c r="F4" s="25" t="s">
        <v>8</v>
      </c>
      <c r="G4" s="25" t="s">
        <v>9</v>
      </c>
      <c r="H4" s="25" t="s">
        <v>10</v>
      </c>
      <c r="I4" s="19" t="s">
        <v>7</v>
      </c>
    </row>
    <row r="5" spans="1:9" ht="30" customHeight="1">
      <c r="A5" s="11" t="s">
        <v>11</v>
      </c>
      <c r="B5" s="11" t="s">
        <v>12</v>
      </c>
      <c r="C5" s="11" t="s">
        <v>13</v>
      </c>
      <c r="D5" s="12">
        <f>COUNTIF(AI應用場景!E:E,A5)</f>
        <v>10</v>
      </c>
      <c r="F5" s="23" t="s">
        <v>14</v>
      </c>
      <c r="G5" s="23"/>
      <c r="H5" s="23" t="s">
        <v>15</v>
      </c>
      <c r="I5" s="21">
        <f>COUNTIF(金融業AI場景明細[所屬金控],H5)</f>
        <v>5</v>
      </c>
    </row>
    <row r="6" spans="1:9" ht="30" customHeight="1">
      <c r="A6" s="2" t="s">
        <v>16</v>
      </c>
      <c r="B6" s="2" t="s">
        <v>17</v>
      </c>
      <c r="C6" s="2" t="s">
        <v>18</v>
      </c>
      <c r="D6" s="6">
        <f>COUNTIF(AI應用場景!E:E,A6)</f>
        <v>12</v>
      </c>
      <c r="F6" s="23" t="s">
        <v>19</v>
      </c>
      <c r="G6" s="23"/>
      <c r="H6" s="23" t="s">
        <v>20</v>
      </c>
      <c r="I6" s="21">
        <f>COUNTIF(金融業AI場景明細[所屬金控],H6)</f>
        <v>21</v>
      </c>
    </row>
    <row r="7" spans="1:9" ht="30" customHeight="1">
      <c r="A7" s="11" t="s">
        <v>21</v>
      </c>
      <c r="B7" s="11" t="s">
        <v>22</v>
      </c>
      <c r="C7" s="11" t="s">
        <v>23</v>
      </c>
      <c r="D7" s="12">
        <f>COUNTIF(AI應用場景!E:E,A7)</f>
        <v>35</v>
      </c>
      <c r="F7" s="23" t="s">
        <v>24</v>
      </c>
      <c r="G7" s="23" t="s">
        <v>25</v>
      </c>
      <c r="H7" s="23" t="s">
        <v>26</v>
      </c>
      <c r="I7" s="21">
        <f>COUNTIF(金融業AI場景明細[所屬金控],H7)</f>
        <v>10</v>
      </c>
    </row>
    <row r="8" spans="1:9" ht="18" customHeight="1">
      <c r="A8" s="2" t="s">
        <v>27</v>
      </c>
      <c r="B8" s="2" t="s">
        <v>28</v>
      </c>
      <c r="C8" s="2" t="s">
        <v>29</v>
      </c>
      <c r="D8" s="6">
        <f>COUNTIF(AI應用場景!E:E,A8)</f>
        <v>3</v>
      </c>
      <c r="F8" s="23" t="s">
        <v>30</v>
      </c>
      <c r="G8" s="23" t="s">
        <v>31</v>
      </c>
      <c r="H8" s="23" t="s">
        <v>32</v>
      </c>
      <c r="I8" s="21">
        <f>COUNTIF(金融業AI場景明細[所屬金控],H8)</f>
        <v>9</v>
      </c>
    </row>
    <row r="9" spans="1:9" ht="18" customHeight="1">
      <c r="A9" s="11" t="s">
        <v>33</v>
      </c>
      <c r="B9" s="11" t="s">
        <v>34</v>
      </c>
      <c r="C9" s="11" t="s">
        <v>35</v>
      </c>
      <c r="D9" s="12">
        <f>COUNTIF(AI應用場景!E:E,A9)</f>
        <v>22</v>
      </c>
      <c r="F9" s="23" t="s">
        <v>36</v>
      </c>
      <c r="G9" s="23" t="s">
        <v>37</v>
      </c>
      <c r="H9" s="23" t="s">
        <v>38</v>
      </c>
      <c r="I9" s="21">
        <f>COUNTIF(金融業AI場景明細[所屬金控],H9)</f>
        <v>6</v>
      </c>
    </row>
    <row r="10" spans="1:9" ht="30" customHeight="1">
      <c r="A10" s="2" t="s">
        <v>39</v>
      </c>
      <c r="B10" s="2" t="s">
        <v>40</v>
      </c>
      <c r="C10" s="2" t="s">
        <v>41</v>
      </c>
      <c r="D10" s="6">
        <f>COUNTIF(AI應用場景!E:E,A10)</f>
        <v>9</v>
      </c>
      <c r="F10" s="23" t="s">
        <v>42</v>
      </c>
      <c r="G10" s="23"/>
      <c r="H10" s="23" t="s">
        <v>43</v>
      </c>
      <c r="I10" s="21">
        <f>COUNTIF(金融業AI場景明細[所屬金控],H10)</f>
        <v>6</v>
      </c>
    </row>
    <row r="11" spans="1:9" ht="18" customHeight="1">
      <c r="A11" s="11" t="s">
        <v>44</v>
      </c>
      <c r="B11" s="11" t="s">
        <v>45</v>
      </c>
      <c r="C11" s="11" t="s">
        <v>46</v>
      </c>
      <c r="D11" s="12">
        <f>COUNTIF(AI應用場景!E:E,A11)</f>
        <v>8</v>
      </c>
      <c r="F11" s="23" t="s">
        <v>47</v>
      </c>
      <c r="G11" s="23" t="s">
        <v>48</v>
      </c>
      <c r="H11" s="23" t="s">
        <v>49</v>
      </c>
      <c r="I11" s="21">
        <f>COUNTIF(金融業AI場景明細[所屬金控],H11)</f>
        <v>12</v>
      </c>
    </row>
    <row r="12" spans="1:9" ht="18" customHeight="1">
      <c r="A12" s="2" t="s">
        <v>50</v>
      </c>
      <c r="B12" s="2" t="s">
        <v>51</v>
      </c>
      <c r="C12" s="2" t="s">
        <v>52</v>
      </c>
      <c r="D12" s="6">
        <f>COUNTIF(AI應用場景!E:E,A12)</f>
        <v>2</v>
      </c>
      <c r="F12" s="23" t="s">
        <v>53</v>
      </c>
      <c r="G12" s="23"/>
      <c r="H12" s="23" t="s">
        <v>54</v>
      </c>
      <c r="I12" s="21">
        <f>COUNTIF(金融業AI場景明細[所屬金控],H12)</f>
        <v>3</v>
      </c>
    </row>
    <row r="13" spans="1:9" ht="30" customHeight="1">
      <c r="A13" s="11" t="s">
        <v>55</v>
      </c>
      <c r="B13" s="11" t="s">
        <v>56</v>
      </c>
      <c r="C13" s="11" t="s">
        <v>57</v>
      </c>
      <c r="D13" s="12">
        <f>COUNTIF(AI應用場景!E:E,A13)</f>
        <v>12</v>
      </c>
      <c r="F13" s="23" t="s">
        <v>58</v>
      </c>
      <c r="G13" s="23"/>
      <c r="H13" s="23" t="s">
        <v>59</v>
      </c>
      <c r="I13" s="21">
        <f>COUNTIF(金融業AI場景明細[所屬金控],H13)</f>
        <v>3</v>
      </c>
    </row>
    <row r="14" spans="1:9" ht="30" customHeight="1">
      <c r="A14" s="11" t="s">
        <v>60</v>
      </c>
      <c r="B14" s="11" t="s">
        <v>61</v>
      </c>
      <c r="C14" s="11" t="s">
        <v>62</v>
      </c>
      <c r="D14" s="12">
        <f>COUNTIF(AI應用場景!E:E,A14)</f>
        <v>5</v>
      </c>
      <c r="F14" s="23" t="s">
        <v>63</v>
      </c>
      <c r="G14" s="23"/>
      <c r="H14" s="23" t="s">
        <v>64</v>
      </c>
      <c r="I14" s="21">
        <f>COUNTIF(金融業AI場景明細[所屬金控],H14)</f>
        <v>2</v>
      </c>
    </row>
    <row r="15" spans="1:9" ht="30" customHeight="1">
      <c r="A15" s="11" t="s">
        <v>65</v>
      </c>
      <c r="B15" s="11" t="s">
        <v>66</v>
      </c>
      <c r="C15" s="11" t="s">
        <v>67</v>
      </c>
      <c r="D15" s="12">
        <f>COUNTIF(AI應用場景!E:E,A15)</f>
        <v>6</v>
      </c>
      <c r="F15" s="23" t="s">
        <v>68</v>
      </c>
      <c r="G15" s="23"/>
      <c r="H15" s="23" t="s">
        <v>69</v>
      </c>
      <c r="I15" s="21">
        <f>COUNTIF(金融業AI場景明細[所屬金控],H15)</f>
        <v>7</v>
      </c>
    </row>
    <row r="16" spans="1:9" ht="30" customHeight="1">
      <c r="A16" s="11" t="s">
        <v>70</v>
      </c>
      <c r="B16" s="11" t="s">
        <v>71</v>
      </c>
      <c r="C16" s="11" t="s">
        <v>72</v>
      </c>
      <c r="D16" s="12">
        <f>COUNTIF(AI應用場景!E:E,A16)</f>
        <v>7</v>
      </c>
      <c r="F16" s="23" t="s">
        <v>73</v>
      </c>
      <c r="G16" s="23"/>
      <c r="H16" s="23" t="s">
        <v>74</v>
      </c>
      <c r="I16" s="21">
        <f>COUNTIF(金融業AI場景明細[所屬金控],H16)</f>
        <v>2</v>
      </c>
    </row>
    <row r="17" spans="1:9" ht="30" customHeight="1">
      <c r="A17" s="11" t="s">
        <v>75</v>
      </c>
      <c r="B17" s="11" t="s">
        <v>76</v>
      </c>
      <c r="C17" s="11" t="s">
        <v>362</v>
      </c>
      <c r="D17" s="12">
        <f>COUNTIF(AI應用場景!E:E,A17)</f>
        <v>5</v>
      </c>
      <c r="F17" s="23" t="s">
        <v>77</v>
      </c>
      <c r="G17" s="23"/>
      <c r="H17" s="23" t="s">
        <v>78</v>
      </c>
      <c r="I17" s="21">
        <f>COUNTIF(金融業AI場景明細[所屬金控],H17)</f>
        <v>1</v>
      </c>
    </row>
    <row r="18" spans="1:9" ht="45" customHeight="1">
      <c r="A18" s="2" t="s">
        <v>79</v>
      </c>
      <c r="B18" s="2" t="s">
        <v>80</v>
      </c>
      <c r="C18" s="2" t="s">
        <v>81</v>
      </c>
      <c r="D18" s="6">
        <f>COUNTIF(AI應用場景!E:E,A18)</f>
        <v>31</v>
      </c>
      <c r="F18" s="23" t="s">
        <v>82</v>
      </c>
      <c r="G18" s="23" t="s">
        <v>83</v>
      </c>
      <c r="H18" s="23" t="s">
        <v>84</v>
      </c>
      <c r="I18" s="21">
        <f>COUNTIF(金融業AI場景明細[所屬金控],H18)</f>
        <v>3</v>
      </c>
    </row>
    <row r="19" spans="1:9" ht="18" customHeight="1">
      <c r="A19" s="31" t="s">
        <v>85</v>
      </c>
      <c r="B19" s="28"/>
      <c r="C19" s="28"/>
      <c r="D19" s="7">
        <f>SUM(D5:D18)</f>
        <v>167</v>
      </c>
      <c r="F19" s="33" t="s">
        <v>86</v>
      </c>
      <c r="G19" s="28"/>
      <c r="H19" s="23" t="s">
        <v>87</v>
      </c>
      <c r="I19" s="21">
        <f>COUNTIF(金融業AI場景明細[所屬金控],H19)</f>
        <v>77</v>
      </c>
    </row>
    <row r="20" spans="1:9" ht="17" customHeight="1">
      <c r="A20" s="1"/>
      <c r="B20" s="1"/>
      <c r="C20" s="1"/>
      <c r="D20" s="1"/>
      <c r="F20" s="27" t="s">
        <v>85</v>
      </c>
      <c r="G20" s="28"/>
      <c r="H20" s="28"/>
      <c r="I20" s="22">
        <f>SUM(I5:I19)</f>
        <v>167</v>
      </c>
    </row>
    <row r="21" spans="1:9" ht="17" customHeight="1">
      <c r="A21" s="35" t="s">
        <v>88</v>
      </c>
      <c r="B21" s="28"/>
      <c r="C21" s="28"/>
      <c r="D21" s="28"/>
      <c r="F21" s="18"/>
      <c r="G21" s="18"/>
      <c r="H21" s="18"/>
      <c r="I21" s="18"/>
    </row>
    <row r="22" spans="1:9">
      <c r="A22" s="30" t="str">
        <f>"整理單位：共 80 個業者／周邊單位、"&amp;D19&amp;" 筆場景；保留原文業別及出現順序，不依業者名稱重新推定監理業別。"</f>
        <v>整理單位：共 80 個業者／周邊單位、167 筆場景；保留原文業別及出現順序，不依業者名稱重新推定監理業別。</v>
      </c>
      <c r="B22" s="28"/>
      <c r="C22" s="28"/>
      <c r="D22" s="28"/>
    </row>
    <row r="23" spans="1:9" ht="190" customHeight="1">
      <c r="A23" s="30" t="s">
        <v>89</v>
      </c>
      <c r="B23" s="28"/>
      <c r="C23" s="28"/>
      <c r="D23" s="28"/>
    </row>
    <row r="24" spans="1:9" ht="56" customHeight="1">
      <c r="A24" s="30" t="s">
        <v>90</v>
      </c>
      <c r="B24" s="28"/>
      <c r="C24" s="28"/>
      <c r="D24" s="28"/>
    </row>
    <row r="25" spans="1:9" ht="36" customHeight="1">
      <c r="A25" s="30" t="s">
        <v>91</v>
      </c>
      <c r="B25" s="28"/>
      <c r="C25" s="28"/>
      <c r="D25" s="28"/>
    </row>
    <row r="26" spans="1:9">
      <c r="A26" s="30" t="s">
        <v>92</v>
      </c>
      <c r="B26" s="28"/>
      <c r="C26" s="28"/>
      <c r="D26" s="28"/>
    </row>
    <row r="27" spans="1:9">
      <c r="A27" s="30" t="s">
        <v>93</v>
      </c>
      <c r="B27" s="28"/>
      <c r="C27" s="28"/>
      <c r="D27" s="28"/>
    </row>
    <row r="28" spans="1:9">
      <c r="A28" s="30" t="s">
        <v>94</v>
      </c>
      <c r="B28" s="28"/>
      <c r="C28" s="28"/>
      <c r="D28" s="28"/>
    </row>
    <row r="29" spans="1:9">
      <c r="A29" s="30" t="s">
        <v>95</v>
      </c>
      <c r="B29" s="28"/>
      <c r="C29" s="28"/>
      <c r="D29" s="28"/>
    </row>
  </sheetData>
  <mergeCells count="16">
    <mergeCell ref="A29:D29"/>
    <mergeCell ref="A25:D25"/>
    <mergeCell ref="A24:D24"/>
    <mergeCell ref="A2:D2"/>
    <mergeCell ref="A28:D28"/>
    <mergeCell ref="F20:H20"/>
    <mergeCell ref="A1:D1"/>
    <mergeCell ref="A23:D23"/>
    <mergeCell ref="A19:C19"/>
    <mergeCell ref="A27:D27"/>
    <mergeCell ref="F1:I1"/>
    <mergeCell ref="A22:D22"/>
    <mergeCell ref="F19:G19"/>
    <mergeCell ref="F2:I2"/>
    <mergeCell ref="A26:D26"/>
    <mergeCell ref="A21:D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AI應用場景</vt:lpstr>
      <vt:lpstr>來源索引</vt:lpstr>
      <vt:lpstr>分類說明</vt:lpstr>
      <vt:lpstr>所屬金控選項</vt:lpstr>
      <vt:lpstr>類別選項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陳家暐 dewey_chen(Yuanta)</dc:creator>
  <cp:lastModifiedBy>家暐 陳</cp:lastModifiedBy>
  <dcterms:created xsi:type="dcterms:W3CDTF">2026-10-19T07:44:23Z</dcterms:created>
  <dcterms:modified xsi:type="dcterms:W3CDTF">2026-10-22T02:08:15Z</dcterms:modified>
</cp:coreProperties>
</file>