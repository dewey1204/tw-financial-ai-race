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AI應用場景" sheetId="1" state="visible" r:id="rId1"/>
    <sheet xmlns:r="http://schemas.openxmlformats.org/officeDocument/2006/relationships" name="來源索引" sheetId="2" state="visible" r:id="rId2"/>
    <sheet xmlns:r="http://schemas.openxmlformats.org/officeDocument/2006/relationships" name="分類說明" sheetId="3" state="visible" r:id="rId3"/>
  </sheets>
  <definedNames>
    <definedName name="類別選項">分類說明!$A$5:$A$18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新細明體"/>
      <charset val="136"/>
      <family val="2"/>
      <color theme="1"/>
      <sz val="12"/>
      <scheme val="minor"/>
    </font>
    <font>
      <name val="Microsoft JhengHei"/>
      <charset val="136"/>
      <family val="2"/>
      <color theme="1"/>
      <sz val="11"/>
    </font>
    <font>
      <name val="新細明體"/>
      <charset val="136"/>
      <family val="2"/>
      <sz val="9"/>
      <scheme val="minor"/>
    </font>
    <font>
      <name val="Microsoft JhengHei"/>
      <charset val="136"/>
      <family val="2"/>
      <b val="1"/>
      <color rgb="FFFFFFFF"/>
      <sz val="19"/>
    </font>
    <font>
      <name val="Microsoft JhengHei"/>
      <charset val="136"/>
      <family val="2"/>
      <color rgb="FF595959"/>
      <sz val="11"/>
    </font>
    <font>
      <name val="Microsoft JhengHei"/>
      <charset val="136"/>
      <family val="2"/>
      <b val="1"/>
      <color theme="1"/>
      <sz val="11"/>
    </font>
    <font>
      <name val="Microsoft JhengHei"/>
      <charset val="136"/>
      <family val="2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6EEF5"/>
        <bgColor indexed="64"/>
      </patternFill>
    </fill>
    <fill>
      <patternFill patternType="solid">
        <fgColor rgb="FFF0F5F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1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49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 wrapText="1"/>
    </xf>
    <xf numFmtId="1" fontId="5" fillId="3" borderId="0" applyAlignment="1" pivotButton="0" quotePrefix="0" xfId="0">
      <alignment horizontal="right" vertical="top"/>
    </xf>
    <xf numFmtId="0" fontId="6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vertical="top" wrapText="1"/>
    </xf>
    <xf numFmtId="0" fontId="6" fillId="2" borderId="0" applyAlignment="1" pivotButton="0" quotePrefix="0" xfId="0">
      <alignment horizontal="right" vertical="top"/>
    </xf>
    <xf numFmtId="0" fontId="1" fillId="4" borderId="0" applyAlignment="1" pivotButton="0" quotePrefix="0" xfId="0">
      <alignment vertical="top" wrapText="1"/>
    </xf>
    <xf numFmtId="1" fontId="1" fillId="4" borderId="0" applyAlignment="1" pivotButton="0" quotePrefix="0" xfId="0">
      <alignment horizontal="right" vertical="top" wrapText="1"/>
    </xf>
    <xf numFmtId="0" fontId="1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3" borderId="0" applyAlignment="1" pivotButton="0" quotePrefix="0" xfId="0">
      <alignment vertical="top"/>
    </xf>
    <xf numFmtId="0" fontId="6" fillId="2" borderId="0" applyAlignment="1" pivotButton="0" quotePrefix="0" xfId="0">
      <alignment vertical="top"/>
    </xf>
    <xf numFmtId="0" fontId="0" fillId="0" borderId="0" pivotButton="0" quotePrefix="0" xfId="0"/>
  </cellXfs>
  <cellStyles count="1">
    <cellStyle name="一般" xfId="0" builtinId="0"/>
  </cellStyles>
  <dxfs count="11"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alignment horizontal="right" vertical="top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0" formatCode="@"/>
      <alignment horizontal="right" vertical="top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b val="1"/>
        <color rgb="FFFFFFFF"/>
      </font>
      <fill>
        <patternFill patternType="solid">
          <fgColor indexed="64"/>
          <bgColor rgb="FF17365D"/>
        </patternFill>
      </fill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17365D"/>
        </patternFill>
      </fill>
      <alignment horizontal="left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金融業AI場景明細" displayName="金融業AI場景明細" ref="A1:D135" headerRowCount="1" totalsRowShown="0" headerRowDxfId="10" dataDxfId="9">
  <autoFilter ref="A1:D135"/>
  <tableColumns count="4">
    <tableColumn id="1" name="業別" dataDxfId="8"/>
    <tableColumn id="2" name="業者" dataDxfId="7"/>
    <tableColumn id="3" name="場景" dataDxfId="6"/>
    <tableColumn id="4" name="類別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業者來源索引" displayName="業者來源索引" ref="A1:D81" headerRowCount="1" totalsRowShown="0" headerRowDxfId="4">
  <autoFilter ref="A1:D81"/>
  <tableColumns count="4">
    <tableColumn id="1" name="業別" dataDxfId="3"/>
    <tableColumn id="2" name="業者" dataDxfId="2"/>
    <tableColumn id="3" name="PDF頁碼" dataDxfId="1"/>
    <tableColumn id="4" name="場景筆數" dataDxfId="0">
      <calculatedColumnFormula>COUNTIFS(AI應用場景!A:A,A2,AI應用場景!B:B,B2)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4"/>
  <sheetViews>
    <sheetView workbookViewId="0">
      <pane ySplit="1" topLeftCell="A102" activePane="bottomLeft" state="frozen"/>
      <selection pane="bottomLeft" activeCell="P124" sqref="P124"/>
    </sheetView>
  </sheetViews>
  <sheetFormatPr baseColWidth="8" defaultRowHeight="16.5"/>
  <cols>
    <col width="11.25" bestFit="1" customWidth="1" style="18" min="1" max="1"/>
    <col width="13.875" customWidth="1" style="18" min="2" max="2"/>
    <col width="90" customWidth="1" style="18" min="3" max="3"/>
    <col width="14.125" bestFit="1" customWidth="1" style="18" min="4" max="4"/>
  </cols>
  <sheetData>
    <row r="1">
      <c r="A1" s="8" t="inlineStr">
        <is>
          <t>業別</t>
        </is>
      </c>
      <c r="B1" s="8" t="inlineStr">
        <is>
          <t>業者</t>
        </is>
      </c>
      <c r="C1" s="8" t="inlineStr">
        <is>
          <t>場景</t>
        </is>
      </c>
      <c r="D1" s="8" t="inlineStr">
        <is>
          <t>類別</t>
        </is>
      </c>
    </row>
    <row r="2">
      <c r="A2" s="3" t="inlineStr">
        <is>
          <t>銀行業</t>
        </is>
      </c>
      <c r="B2" s="3" t="inlineStr">
        <is>
          <t>富邦金控</t>
        </is>
      </c>
      <c r="C2" s="3" t="inlineStr">
        <is>
          <t>智能法遵系統：蒐集外規異動資訊，自動判讀內外規及相關單位關聯，輔助法遵檢視與派發作業。</t>
        </is>
      </c>
      <c r="D2" s="3" t="inlineStr">
        <is>
          <t>比對</t>
        </is>
      </c>
    </row>
    <row r="3">
      <c r="A3" s="3" t="inlineStr">
        <is>
          <t>銀行業</t>
        </is>
      </c>
      <c r="B3" s="3" t="inlineStr">
        <is>
          <t>富邦金控</t>
        </is>
      </c>
      <c r="C3" s="3" t="inlineStr">
        <is>
          <t>端點偵測及回應（EDR）資安監控分析：即時監控電腦活動，交叉比對威脅情資。</t>
        </is>
      </c>
      <c r="D3" s="3" t="inlineStr">
        <is>
          <t>比對</t>
        </is>
      </c>
    </row>
    <row r="4">
      <c r="A4" s="3" t="inlineStr">
        <is>
          <t>銀行業</t>
        </is>
      </c>
      <c r="B4" s="3" t="inlineStr">
        <is>
          <t>富邦金控</t>
        </is>
      </c>
      <c r="C4" s="3" t="inlineStr">
        <is>
          <t>網路偵測與回應（NDR）：即時側錄與截取網路流量，以機器學習解析異常行為。</t>
        </is>
      </c>
      <c r="D4" s="3" t="inlineStr">
        <is>
          <t>其它</t>
        </is>
      </c>
    </row>
    <row r="5" ht="30" customHeight="1" s="18">
      <c r="A5" s="3" t="inlineStr">
        <is>
          <t>銀行業</t>
        </is>
      </c>
      <c r="B5" s="3" t="inlineStr">
        <is>
          <t>臺灣金控</t>
        </is>
      </c>
      <c r="C5" s="3" t="inlineStr">
        <is>
          <t>導入微軟 Copilot，協助文件撰寫、資料分析、簡報製作、資訊摘要及報告初稿，並支援會議紀錄、信件與公文作業。</t>
        </is>
      </c>
      <c r="D5" s="3" t="inlineStr">
        <is>
          <t>M365 Copilot</t>
        </is>
      </c>
    </row>
    <row r="6" ht="30" customHeight="1" s="18">
      <c r="A6" s="3" t="inlineStr">
        <is>
          <t>銀行業</t>
        </is>
      </c>
      <c r="B6" s="3" t="inlineStr">
        <is>
          <t>玉山金控</t>
        </is>
      </c>
      <c r="C6" s="3" t="inlineStr">
        <is>
          <t>「金融無塵室」計畫：應用同態加密與雙盲技術，在安全合規環境促成跨行庫、跨產業資料協作，強化聯防識詐。</t>
        </is>
      </c>
      <c r="D6" s="3" t="inlineStr">
        <is>
          <t>阻詐</t>
        </is>
      </c>
    </row>
    <row r="7">
      <c r="A7" s="3" t="inlineStr">
        <is>
          <t>銀行業</t>
        </is>
      </c>
      <c r="B7" s="3" t="inlineStr">
        <is>
          <t>王道銀行</t>
        </is>
      </c>
      <c r="C7" s="3" t="inlineStr">
        <is>
          <t>智能客服。</t>
        </is>
      </c>
      <c r="D7" s="3" t="inlineStr">
        <is>
          <t>智能客服</t>
        </is>
      </c>
    </row>
    <row r="8">
      <c r="A8" s="3" t="inlineStr">
        <is>
          <t>銀行業</t>
        </is>
      </c>
      <c r="B8" s="3" t="inlineStr">
        <is>
          <t>連線銀行</t>
        </is>
      </c>
      <c r="C8" s="3" t="inlineStr">
        <is>
          <t>防詐預警：已發展四個預警模型，其中兩個具每小時自動 BLOCK 機制。</t>
        </is>
      </c>
      <c r="D8" s="3" t="inlineStr">
        <is>
          <t>阻詐</t>
        </is>
      </c>
    </row>
    <row r="9">
      <c r="A9" s="3" t="inlineStr">
        <is>
          <t>銀行業</t>
        </is>
      </c>
      <c r="B9" s="3" t="inlineStr">
        <is>
          <t>台新銀行</t>
        </is>
      </c>
      <c r="C9" s="3" t="inlineStr">
        <is>
          <t>防範詐騙：以圖演算法追蹤多層次金流與可疑帳戶，結合機器學習辨識詐騙模式。</t>
        </is>
      </c>
      <c r="D9" s="3" t="inlineStr">
        <is>
          <t>阻詐</t>
        </is>
      </c>
    </row>
    <row r="10">
      <c r="A10" s="3" t="inlineStr">
        <is>
          <t>銀行業</t>
        </is>
      </c>
      <c r="B10" s="3" t="inlineStr">
        <is>
          <t>台新銀行</t>
        </is>
      </c>
      <c r="C10" s="3" t="inlineStr">
        <is>
          <t>智能質檢：導入 ASR 語音辨識與 LLM，建構自動化質檢流程，實現音檔轉譯文本等作業。</t>
        </is>
      </c>
      <c r="D10" s="3" t="inlineStr">
        <is>
          <t>語音質檢/應用</t>
        </is>
      </c>
    </row>
    <row r="11">
      <c r="A11" s="3" t="inlineStr">
        <is>
          <t>銀行業</t>
        </is>
      </c>
      <c r="B11" s="3" t="inlineStr">
        <is>
          <t>台新銀行</t>
        </is>
      </c>
      <c r="C11" s="3" t="inlineStr">
        <is>
          <t>智能小幫手：建立智能知識管理平台，提供內部員工語意式智能搜尋問答（原文未明示 RAG）。</t>
        </is>
      </c>
      <c r="D11" s="3" t="inlineStr">
        <is>
          <t>RAG/KM</t>
        </is>
      </c>
    </row>
    <row r="12" ht="30" customHeight="1" s="18">
      <c r="A12" s="3" t="inlineStr">
        <is>
          <t>銀行業</t>
        </is>
      </c>
      <c r="B12" s="3" t="inlineStr">
        <is>
          <t>彰化銀行</t>
        </is>
      </c>
      <c r="C12" s="3" t="inlineStr">
        <is>
          <t>「鷹眼 AI 防詐模型」：搭配「疑似不法顯屬異常」兩項 Rule-based 風險態樣指標，每日自動設控高風險存款帳戶，並保留人工審核、介入及解控救濟機制。</t>
        </is>
      </c>
      <c r="D12" s="3" t="inlineStr">
        <is>
          <t>阻詐</t>
        </is>
      </c>
    </row>
    <row r="13">
      <c r="A13" s="3" t="inlineStr">
        <is>
          <t>銀行業</t>
        </is>
      </c>
      <c r="B13" s="3" t="inlineStr">
        <is>
          <t>將來銀行</t>
        </is>
      </c>
      <c r="C13" s="3" t="inlineStr">
        <is>
          <t>「AI 小將」文字客服：提供 24×7 服務，涵蓋既有產品，原文載明覆蓋率（精準度）達 97.6%。</t>
        </is>
      </c>
      <c r="D13" s="3" t="inlineStr">
        <is>
          <t>智能客服</t>
        </is>
      </c>
    </row>
    <row r="14">
      <c r="A14" s="3" t="inlineStr">
        <is>
          <t>銀行業</t>
        </is>
      </c>
      <c r="B14" s="3" t="inlineStr">
        <is>
          <t>渣打銀行</t>
        </is>
      </c>
      <c r="C14" s="3" t="inlineStr">
        <is>
          <t>YODA 銀行內部智能助理機器人：協助員工快速找到所需資訊（原文未明示 RAG 或自主代理機制）。</t>
        </is>
      </c>
      <c r="D14" s="3" t="inlineStr">
        <is>
          <t>RAG/KM</t>
        </is>
      </c>
    </row>
    <row r="15">
      <c r="A15" s="3" t="inlineStr">
        <is>
          <t>銀行業</t>
        </is>
      </c>
      <c r="B15" s="3" t="inlineStr">
        <is>
          <t>華南銀行</t>
        </is>
      </c>
      <c r="C15" s="3" t="inlineStr">
        <is>
          <t>AI 助理系統：快速檢索銀行核心知識並生成摘要（依檢索結合生成的用途判為 RAG）。</t>
        </is>
      </c>
      <c r="D15" s="3" t="inlineStr">
        <is>
          <t>RAG/KM</t>
        </is>
      </c>
    </row>
    <row r="16">
      <c r="A16" s="3" t="inlineStr">
        <is>
          <t>銀行業</t>
        </is>
      </c>
      <c r="B16" s="3" t="inlineStr">
        <is>
          <t>華南銀行</t>
        </is>
      </c>
      <c r="C16" s="3" t="inlineStr">
        <is>
          <t>「雷神識詐」：鎖定異常帳戶以防範詐騙。</t>
        </is>
      </c>
      <c r="D16" s="3" t="inlineStr">
        <is>
          <t>阻詐</t>
        </is>
      </c>
    </row>
    <row r="17">
      <c r="A17" s="3" t="inlineStr">
        <is>
          <t>銀行業</t>
        </is>
      </c>
      <c r="B17" s="3" t="inlineStr">
        <is>
          <t>華南銀行</t>
        </is>
      </c>
      <c r="C17" s="3" t="inlineStr">
        <is>
          <t>AML 風險評級：對案件進行風險分級，提升審查效率。</t>
        </is>
      </c>
      <c r="D17" s="3" t="inlineStr">
        <is>
          <t>其它</t>
        </is>
      </c>
    </row>
    <row r="18">
      <c r="A18" s="3" t="inlineStr">
        <is>
          <t>銀行業</t>
        </is>
      </c>
      <c r="B18" s="3" t="inlineStr">
        <is>
          <t>華南銀行</t>
        </is>
      </c>
      <c r="C18" s="3" t="inlineStr">
        <is>
          <t>智能 IVR：透過語音辨識判斷並完成客戶意圖。</t>
        </is>
      </c>
      <c r="D18" s="3" t="inlineStr">
        <is>
          <t>語音質檢/應用</t>
        </is>
      </c>
    </row>
    <row r="19">
      <c r="A19" s="3" t="inlineStr">
        <is>
          <t>銀行業</t>
        </is>
      </c>
      <c r="B19" s="3" t="inlineStr">
        <is>
          <t>華南銀行</t>
        </is>
      </c>
      <c r="C19" s="3" t="inlineStr">
        <is>
          <t>AI 代理人：運用於投研報告及產經週報，協助掌握全球市場動態與產業趨勢。</t>
        </is>
      </c>
      <c r="D19" s="3" t="inlineStr">
        <is>
          <t>生成式AI</t>
        </is>
      </c>
    </row>
    <row r="20" ht="30" customHeight="1" s="18">
      <c r="A20" s="3" t="inlineStr">
        <is>
          <t>銀行業</t>
        </is>
      </c>
      <c r="B20" s="3" t="inlineStr">
        <is>
          <t>台中銀行</t>
        </is>
      </c>
      <c r="C20" s="3" t="inlineStr">
        <is>
          <t>知識檢索平台：以 RAG 整合行內規章，跨部門定位文件片段，並結合生成式 AI 自動彙整、即時產出重點答案。</t>
        </is>
      </c>
      <c r="D20" s="3" t="inlineStr">
        <is>
          <t>RAG/KM</t>
        </is>
      </c>
    </row>
    <row r="21" ht="30" customHeight="1" s="18">
      <c r="A21" s="3" t="inlineStr">
        <is>
          <t>銀行業</t>
        </is>
      </c>
      <c r="B21" s="3" t="inlineStr">
        <is>
          <t>臺灣銀行</t>
        </is>
      </c>
      <c r="C21" s="3" t="inlineStr">
        <is>
          <t>導入 Copilot，協助文件撰寫、資料分析、簡報製作、資訊摘要及報告初稿，並支援會議紀錄、信件與公文作業。</t>
        </is>
      </c>
      <c r="D21" s="3" t="inlineStr">
        <is>
          <t>M365 Copilot</t>
        </is>
      </c>
    </row>
    <row r="22" ht="30" customHeight="1" s="18">
      <c r="A22" s="3" t="inlineStr">
        <is>
          <t>銀行業</t>
        </is>
      </c>
      <c r="B22" s="3" t="inlineStr">
        <is>
          <t>玉山銀行</t>
        </is>
      </c>
      <c r="C22" s="3" t="inlineStr">
        <is>
          <t>信貸流程導入 Proxy Income 財力評估模型與自動報價系統，實現數據驅動風險定價，提升徵審自動化時效。</t>
        </is>
      </c>
      <c r="D22" s="3" t="inlineStr">
        <is>
          <t>RPA</t>
        </is>
      </c>
    </row>
    <row r="23">
      <c r="A23" s="3" t="inlineStr">
        <is>
          <t>銀行業</t>
        </is>
      </c>
      <c r="B23" s="3" t="inlineStr">
        <is>
          <t>元大銀行</t>
        </is>
      </c>
      <c r="C23" s="3" t="inlineStr">
        <is>
          <t>「天網防詐模型」：訓練 AI 辨識客戶交易行為是否涉及詐騙並提前預警。</t>
        </is>
      </c>
      <c r="D23" s="3" t="inlineStr">
        <is>
          <t>阻詐</t>
        </is>
      </c>
    </row>
    <row r="24" ht="30" customHeight="1" s="18">
      <c r="A24" s="3" t="inlineStr">
        <is>
          <t>銀行業</t>
        </is>
      </c>
      <c r="B24" s="3" t="inlineStr">
        <is>
          <t>國泰世華銀行</t>
        </is>
      </c>
      <c r="C24" s="3" t="inlineStr">
        <is>
          <t>員工 AI 助手：結合生成式 AI 與知識管理，協助查詢作業規範、業務知識及常見問題（依知識查詢結合生成的用途判為 RAG）。</t>
        </is>
      </c>
      <c r="D24" s="3" t="inlineStr">
        <is>
          <t>RAG/KM</t>
        </is>
      </c>
    </row>
    <row r="25">
      <c r="A25" s="3" t="inlineStr">
        <is>
          <t>銀行業</t>
        </is>
      </c>
      <c r="B25" s="3" t="inlineStr">
        <is>
          <t>國泰世華銀行</t>
        </is>
      </c>
      <c r="C25" s="3" t="inlineStr">
        <is>
          <t>智能客服「阿發」：結合生成式 AI、官網公開資訊及 FAQ 檢索資料庫，供客戶查找銀行業務與服務資訊。</t>
        </is>
      </c>
      <c r="D25" s="3" t="inlineStr">
        <is>
          <t>智能客服</t>
        </is>
      </c>
    </row>
    <row r="26">
      <c r="A26" s="3" t="inlineStr">
        <is>
          <t>銀行業</t>
        </is>
      </c>
      <c r="B26" s="3" t="inlineStr">
        <is>
          <t>滙豐銀行</t>
        </is>
      </c>
      <c r="C26" s="3" t="inlineStr">
        <is>
          <t>AI Markets：以自然語言處理（NLP）及大型語言模型（LLM）等技術，支援機構投資人與全球市場互動。</t>
        </is>
      </c>
      <c r="D26" s="3" t="inlineStr">
        <is>
          <t>生成式AI</t>
        </is>
      </c>
    </row>
    <row r="27" ht="30" customHeight="1" s="18">
      <c r="A27" s="3" t="inlineStr">
        <is>
          <t>銀行業</t>
        </is>
      </c>
      <c r="B27" s="3" t="inlineStr">
        <is>
          <t>臺灣中小企銀</t>
        </is>
      </c>
      <c r="C27" s="3" t="inlineStr">
        <is>
          <t>行動銀行智能語音小幫手 i-Money：結合 NLU、語音辨識與 API，提供功能導航、帳務查詢、轉帳及近 50 項生活繳費等語音對話服務。</t>
        </is>
      </c>
      <c r="D27" s="3" t="inlineStr">
        <is>
          <t>語音質檢/應用</t>
        </is>
      </c>
    </row>
    <row r="28">
      <c r="A28" s="3" t="inlineStr">
        <is>
          <t>銀行業</t>
        </is>
      </c>
      <c r="B28" s="3" t="inlineStr">
        <is>
          <t>中國信託銀行</t>
        </is>
      </c>
      <c r="C28" s="3" t="inlineStr">
        <is>
          <t>智能客服「小 C」。</t>
        </is>
      </c>
      <c r="D28" s="3" t="inlineStr">
        <is>
          <t>智能客服</t>
        </is>
      </c>
    </row>
    <row r="29">
      <c r="A29" s="3" t="inlineStr">
        <is>
          <t>銀行業</t>
        </is>
      </c>
      <c r="B29" s="3" t="inlineStr">
        <is>
          <t>中國信託銀行</t>
        </is>
      </c>
      <c r="C29" s="3" t="inlineStr">
        <is>
          <t>分行 AI 審票（原文未交代具體辨識或比對技術）。</t>
        </is>
      </c>
      <c r="D29" s="3" t="inlineStr">
        <is>
          <t>其它</t>
        </is>
      </c>
    </row>
    <row r="30">
      <c r="A30" s="3" t="inlineStr">
        <is>
          <t>銀行業</t>
        </is>
      </c>
      <c r="B30" s="3" t="inlineStr">
        <is>
          <t>中國信託銀行</t>
        </is>
      </c>
      <c r="C30" s="3" t="inlineStr">
        <is>
          <t>防詐應用（原文未詳述）。</t>
        </is>
      </c>
      <c r="D30" s="3" t="inlineStr">
        <is>
          <t>阻詐</t>
        </is>
      </c>
    </row>
    <row r="31">
      <c r="A31" s="3" t="inlineStr">
        <is>
          <t>銀行業</t>
        </is>
      </c>
      <c r="B31" s="3" t="inlineStr">
        <is>
          <t>台北富邦銀行</t>
        </is>
      </c>
      <c r="C31" s="3" t="inlineStr">
        <is>
          <t>即時意圖偵測模型。</t>
        </is>
      </c>
      <c r="D31" s="3" t="inlineStr">
        <is>
          <t>模型訓練</t>
        </is>
      </c>
    </row>
    <row r="32">
      <c r="A32" s="3" t="inlineStr">
        <is>
          <t>銀行業</t>
        </is>
      </c>
      <c r="B32" s="3" t="inlineStr">
        <is>
          <t>台北富邦銀行</t>
        </is>
      </c>
      <c r="C32" s="3" t="inlineStr">
        <is>
          <t>跨產品偏好排序模型。</t>
        </is>
      </c>
      <c r="D32" s="3" t="inlineStr">
        <is>
          <t>模型訓練</t>
        </is>
      </c>
    </row>
    <row r="33">
      <c r="A33" s="3" t="inlineStr">
        <is>
          <t>銀行業</t>
        </is>
      </c>
      <c r="B33" s="3" t="inlineStr">
        <is>
          <t>台北富邦銀行</t>
        </is>
      </c>
      <c r="C33" s="3" t="inlineStr">
        <is>
          <t>情境偏好排序模型。</t>
        </is>
      </c>
      <c r="D33" s="3" t="inlineStr">
        <is>
          <t>模型訓練</t>
        </is>
      </c>
    </row>
    <row r="34">
      <c r="A34" s="3" t="inlineStr">
        <is>
          <t>銀行業</t>
        </is>
      </c>
      <c r="B34" s="3" t="inlineStr">
        <is>
          <t>台北富邦銀行</t>
        </is>
      </c>
      <c r="C34" s="3" t="inlineStr">
        <is>
          <t>產品意圖預測模型。</t>
        </is>
      </c>
      <c r="D34" s="3" t="inlineStr">
        <is>
          <t>模型訓練</t>
        </is>
      </c>
    </row>
    <row r="35">
      <c r="A35" s="3" t="inlineStr">
        <is>
          <t>銀行業</t>
        </is>
      </c>
      <c r="B35" s="3" t="inlineStr">
        <is>
          <t>台北富邦銀行</t>
        </is>
      </c>
      <c r="C35" s="3" t="inlineStr">
        <is>
          <t>鷹眼防詐模型。</t>
        </is>
      </c>
      <c r="D35" s="3" t="inlineStr">
        <is>
          <t>阻詐</t>
        </is>
      </c>
    </row>
    <row r="36">
      <c r="A36" s="3" t="inlineStr">
        <is>
          <t>銀行業</t>
        </is>
      </c>
      <c r="B36" s="3" t="inlineStr">
        <is>
          <t>樂天銀行</t>
        </is>
      </c>
      <c r="C36" s="3" t="inlineStr">
        <is>
          <t>於鷹眼聯盟會議分享應用與成效（原文未詳述實際場景與技術，但有鷹眼就歸類為阻詐）。</t>
        </is>
      </c>
      <c r="D36" s="3" t="inlineStr">
        <is>
          <t>阻詐</t>
        </is>
      </c>
    </row>
    <row r="37">
      <c r="A37" s="3" t="inlineStr">
        <is>
          <t>銀行業</t>
        </is>
      </c>
      <c r="B37" s="3" t="inlineStr">
        <is>
          <t>全盈支付</t>
        </is>
      </c>
      <c r="C37" s="3" t="inlineStr">
        <is>
          <t>導入 AI 助理，協助軟體開發、資料庫語言審查及白箱測試風險修復，兼顧服務功能發展與資安風險控管。</t>
        </is>
      </c>
      <c r="D37" s="3" t="inlineStr">
        <is>
          <t>程式助手</t>
        </is>
      </c>
    </row>
    <row r="38">
      <c r="A38" s="3" t="inlineStr">
        <is>
          <t>銀行業</t>
        </is>
      </c>
      <c r="B38" s="3" t="inlineStr">
        <is>
          <t>全支付公司</t>
        </is>
      </c>
      <c r="C38" s="3" t="inlineStr">
        <is>
          <t>程式碼除錯：以 AI 檢驗 code 內容 bug，提升程式正確性。</t>
        </is>
      </c>
      <c r="D38" s="3" t="inlineStr">
        <is>
          <t>程式助手</t>
        </is>
      </c>
    </row>
    <row r="39">
      <c r="A39" s="3" t="inlineStr">
        <is>
          <t>銀行業</t>
        </is>
      </c>
      <c r="B39" s="3" t="inlineStr">
        <is>
          <t>全支付公司</t>
        </is>
      </c>
      <c r="C39" s="3" t="inlineStr">
        <is>
          <t>內部教育訓練：以 AI 調整、檢核或生成內部訓練內容，降低人力耗費並提升訓練成效。</t>
        </is>
      </c>
      <c r="D39" s="3" t="inlineStr">
        <is>
          <t>生成式AI</t>
        </is>
      </c>
    </row>
    <row r="40">
      <c r="A40" s="3" t="inlineStr">
        <is>
          <t>銀行業</t>
        </is>
      </c>
      <c r="B40" s="3" t="inlineStr">
        <is>
          <t>金融研訓院</t>
        </is>
      </c>
      <c r="C40" s="3" t="inlineStr">
        <is>
          <t>AI 線上面試輔助口試（原文未交代具體技術）。</t>
        </is>
      </c>
      <c r="D40" s="3" t="inlineStr">
        <is>
          <t>其它</t>
        </is>
      </c>
    </row>
    <row r="41">
      <c r="A41" s="3" t="inlineStr">
        <is>
          <t>銀行業</t>
        </is>
      </c>
      <c r="B41" s="3" t="inlineStr">
        <is>
          <t>存保公司</t>
        </is>
      </c>
      <c r="C41" s="3" t="inlineStr">
        <is>
          <t>開發存保專屬 AI 應答助理，應用於內部知識問答（原文未明示 RAG）。</t>
        </is>
      </c>
      <c r="D41" s="3" t="inlineStr">
        <is>
          <t>RAG/KM</t>
        </is>
      </c>
    </row>
    <row r="42">
      <c r="A42" s="3" t="inlineStr">
        <is>
          <t>銀行業</t>
        </is>
      </c>
      <c r="B42" s="3" t="inlineStr">
        <is>
          <t>存保公司</t>
        </is>
      </c>
      <c r="C42" s="3" t="inlineStr">
        <is>
          <t>使用 AI 工具製作內部文件等非機敏資料業務。</t>
        </is>
      </c>
      <c r="D42" s="3" t="inlineStr">
        <is>
          <t>生成式AI</t>
        </is>
      </c>
    </row>
    <row r="43">
      <c r="A43" s="3" t="inlineStr">
        <is>
          <t>銀行業</t>
        </is>
      </c>
      <c r="B43" s="3" t="inlineStr">
        <is>
          <t>存保公司</t>
        </is>
      </c>
      <c r="C43" s="3" t="inlineStr">
        <is>
          <t>使用 AI 工具進行工作流程自動化等非機敏資料業務。</t>
        </is>
      </c>
      <c r="D43" s="3" t="inlineStr">
        <is>
          <t>RPA</t>
        </is>
      </c>
    </row>
    <row r="44">
      <c r="A44" s="3" t="inlineStr">
        <is>
          <t>銀行業</t>
        </is>
      </c>
      <c r="B44" s="3" t="inlineStr">
        <is>
          <t>存保公司</t>
        </is>
      </c>
      <c r="C44" s="3" t="inlineStr">
        <is>
          <t>建置地端 AI 基礎架構及封閉式 AI 平台，應用於機敏資料業務（原文未詳列業務）。</t>
        </is>
      </c>
      <c r="D44" s="3" t="inlineStr">
        <is>
          <t>其它</t>
        </is>
      </c>
    </row>
    <row r="45" ht="30" customHeight="1" s="18">
      <c r="A45" s="3" t="inlineStr">
        <is>
          <t>銀行業</t>
        </is>
      </c>
      <c r="B45" s="3" t="inlineStr">
        <is>
          <t>聯卡中心</t>
        </is>
      </c>
      <c r="C45" s="3" t="inlineStr">
        <is>
          <t>TRACE 詐欺偵測：依持卡人過去交易行為變數評分，於交易當下產生風險預測分數，協助發卡機構評估風險。</t>
        </is>
      </c>
      <c r="D45" s="3" t="inlineStr">
        <is>
          <t>阻詐</t>
        </is>
      </c>
    </row>
    <row r="46">
      <c r="A46" s="3" t="inlineStr">
        <is>
          <t>銀行業</t>
        </is>
      </c>
      <c r="B46" s="3" t="inlineStr">
        <is>
          <t>聯卡中心</t>
        </is>
      </c>
      <c r="C46" s="3" t="inlineStr">
        <is>
          <t>AML 系統：執行未知風險異常交易態樣分析預測概念驗證，辨識監控人員尚未發現的異常態樣。</t>
        </is>
      </c>
      <c r="D46" s="3" t="inlineStr">
        <is>
          <t>其它</t>
        </is>
      </c>
    </row>
    <row r="47">
      <c r="A47" s="3" t="inlineStr">
        <is>
          <t>保險業</t>
        </is>
      </c>
      <c r="B47" s="3" t="inlineStr">
        <is>
          <t>國泰人壽</t>
        </is>
      </c>
      <c r="C47" s="3" t="inlineStr">
        <is>
          <t>AI Coach：以 LLM 模擬虛擬客戶並扮演多元角色，供業務員與客服進行技巧對練。</t>
        </is>
      </c>
      <c r="D47" s="3" t="inlineStr">
        <is>
          <t>生成式AI</t>
        </is>
      </c>
    </row>
    <row r="48">
      <c r="A48" s="3" t="inlineStr">
        <is>
          <t>保險業</t>
        </is>
      </c>
      <c r="B48" s="3" t="inlineStr">
        <is>
          <t>國泰人壽</t>
        </is>
      </c>
      <c r="C48" s="3" t="inlineStr">
        <is>
          <t>理賠 AI 系統：以 LLM 輔助理賠單據資訊萃取。</t>
        </is>
      </c>
      <c r="D48" s="3" t="inlineStr">
        <is>
          <t>生成式AI</t>
        </is>
      </c>
    </row>
    <row r="49">
      <c r="A49" s="3" t="inlineStr">
        <is>
          <t>保險業</t>
        </is>
      </c>
      <c r="B49" s="3" t="inlineStr">
        <is>
          <t>國泰人壽</t>
        </is>
      </c>
      <c r="C49" s="3" t="inlineStr">
        <is>
          <t>理賠 AI 系統：以機器學習預測異常風險，輔助理賠人員決策（原文未限定為詐欺風險）。</t>
        </is>
      </c>
      <c r="D49" s="3" t="inlineStr">
        <is>
          <t>其它</t>
        </is>
      </c>
    </row>
    <row r="50">
      <c r="A50" s="3" t="inlineStr">
        <is>
          <t>保險業</t>
        </is>
      </c>
      <c r="B50" s="3" t="inlineStr">
        <is>
          <t>國泰人壽</t>
        </is>
      </c>
      <c r="C50" s="3" t="inlineStr">
        <is>
          <t>「泰好客 Cathay AIM」：以機器學習預測近期各類商品高購買力客戶，輔助業務員拜訪行銷。</t>
        </is>
      </c>
      <c r="D50" s="3" t="inlineStr">
        <is>
          <t>其它</t>
        </is>
      </c>
    </row>
    <row r="51">
      <c r="A51" s="3" t="inlineStr">
        <is>
          <t>保險業</t>
        </is>
      </c>
      <c r="B51" s="3" t="inlineStr">
        <is>
          <t>新光人壽</t>
        </is>
      </c>
      <c r="C51" s="3" t="inlineStr">
        <is>
          <t>理賠防詐模型。</t>
        </is>
      </c>
      <c r="D51" s="3" t="inlineStr">
        <is>
          <t>阻詐</t>
        </is>
      </c>
    </row>
    <row r="52">
      <c r="A52" s="3" t="inlineStr">
        <is>
          <t>保險業</t>
        </is>
      </c>
      <c r="B52" s="3" t="inlineStr">
        <is>
          <t>新光人壽</t>
        </is>
      </c>
      <c r="C52" s="3" t="inlineStr">
        <is>
          <t>LLM 法扣系統（原文未進一步說明）。</t>
        </is>
      </c>
      <c r="D52" s="3" t="inlineStr">
        <is>
          <t>生成式AI</t>
        </is>
      </c>
    </row>
    <row r="53">
      <c r="A53" s="3" t="inlineStr">
        <is>
          <t>保險業</t>
        </is>
      </c>
      <c r="B53" s="3" t="inlineStr">
        <is>
          <t>新光人壽</t>
        </is>
      </c>
      <c r="C53" s="3" t="inlineStr">
        <is>
          <t>語音辨識應用。</t>
        </is>
      </c>
      <c r="D53" s="3" t="inlineStr">
        <is>
          <t>語音質檢/應用</t>
        </is>
      </c>
    </row>
    <row r="54">
      <c r="A54" s="3" t="inlineStr">
        <is>
          <t>保險業</t>
        </is>
      </c>
      <c r="B54" s="3" t="inlineStr">
        <is>
          <t>友邦人壽</t>
        </is>
      </c>
      <c r="C54" s="3" t="inlineStr">
        <is>
          <t>運用 Copilot 生成式 AI 協助文件撰寫、資料整理及程式開發，採人機協作以確保決策品質與合規性。</t>
        </is>
      </c>
      <c r="D54" s="3" t="inlineStr">
        <is>
          <t>程式助手</t>
        </is>
      </c>
    </row>
    <row r="55">
      <c r="A55" s="3" t="inlineStr">
        <is>
          <t>保險業</t>
        </is>
      </c>
      <c r="B55" s="3" t="inlineStr">
        <is>
          <t>台灣人壽</t>
        </is>
      </c>
      <c r="C55" s="3" t="inlineStr">
        <is>
          <t>高齡錄音質檢系統（原文未明示語音轉文字流程）。</t>
        </is>
      </c>
      <c r="D55" s="3" t="inlineStr">
        <is>
          <t>語音質檢/應用</t>
        </is>
      </c>
    </row>
    <row r="56">
      <c r="A56" s="3" t="inlineStr">
        <is>
          <t>保險業</t>
        </is>
      </c>
      <c r="B56" s="3" t="inlineStr">
        <is>
          <t>台灣人壽</t>
        </is>
      </c>
      <c r="C56" s="3" t="inlineStr">
        <is>
          <t>語音機器人電訪系統。</t>
        </is>
      </c>
      <c r="D56" s="3" t="inlineStr">
        <is>
          <t>語音質檢/應用</t>
        </is>
      </c>
    </row>
    <row r="57">
      <c r="A57" s="3" t="inlineStr">
        <is>
          <t>保險業</t>
        </is>
      </c>
      <c r="B57" s="3" t="inlineStr">
        <is>
          <t>富邦人壽</t>
        </is>
      </c>
      <c r="C57" s="3" t="inlineStr">
        <is>
          <t>AI 協助核保員與理賠員進行文件重點摘要。</t>
        </is>
      </c>
      <c r="D57" s="3" t="inlineStr">
        <is>
          <t>生成式AI</t>
        </is>
      </c>
    </row>
    <row r="58">
      <c r="A58" s="3" t="inlineStr">
        <is>
          <t>保險業</t>
        </is>
      </c>
      <c r="B58" s="3" t="inlineStr">
        <is>
          <t>富邦人壽</t>
        </is>
      </c>
      <c r="C58" s="3" t="inlineStr">
        <is>
          <t>AI 輔助職業／手術代碼判斷。</t>
        </is>
      </c>
      <c r="D58" s="3" t="inlineStr">
        <is>
          <t>其它</t>
        </is>
      </c>
    </row>
    <row r="59">
      <c r="A59" s="3" t="inlineStr">
        <is>
          <t>保險業</t>
        </is>
      </c>
      <c r="B59" s="3" t="inlineStr">
        <is>
          <t>富邦人壽</t>
        </is>
      </c>
      <c r="C59" s="3" t="inlineStr">
        <is>
          <t>AI 輔助產出商品開發文件。</t>
        </is>
      </c>
      <c r="D59" s="3" t="inlineStr">
        <is>
          <t>生成式AI</t>
        </is>
      </c>
    </row>
    <row r="60">
      <c r="A60" s="3" t="inlineStr">
        <is>
          <t>保險業</t>
        </is>
      </c>
      <c r="B60" s="3" t="inlineStr">
        <is>
          <t>富邦人壽</t>
        </is>
      </c>
      <c r="C60" s="3" t="inlineStr">
        <is>
          <t>AI 智能客服，提供客戶即時問答。</t>
        </is>
      </c>
      <c r="D60" s="3" t="inlineStr">
        <is>
          <t>智能客服</t>
        </is>
      </c>
    </row>
    <row r="61">
      <c r="A61" s="3" t="inlineStr">
        <is>
          <t>保險業</t>
        </is>
      </c>
      <c r="B61" s="3" t="inlineStr">
        <is>
          <t>富邦人壽</t>
        </is>
      </c>
      <c r="C61" s="3" t="inlineStr">
        <is>
          <t>AI 輔助 IT 人員程式碼編譯（原文未明示程式碼生成）。</t>
        </is>
      </c>
      <c r="D61" s="3" t="inlineStr">
        <is>
          <t>程式助手</t>
        </is>
      </c>
    </row>
    <row r="62">
      <c r="A62" s="3" t="inlineStr">
        <is>
          <t>保險業</t>
        </is>
      </c>
      <c r="B62" s="3" t="inlineStr">
        <is>
          <t>富邦人壽</t>
        </is>
      </c>
      <c r="C62" s="3" t="inlineStr">
        <is>
          <t>AI 應用於風險管理與法遵（原文未詳述具體功能）。</t>
        </is>
      </c>
      <c r="D62" s="3" t="inlineStr">
        <is>
          <t>其它</t>
        </is>
      </c>
    </row>
    <row r="63" ht="30" customHeight="1" s="18">
      <c r="A63" s="3" t="inlineStr">
        <is>
          <t>保險業</t>
        </is>
      </c>
      <c r="B63" s="3" t="inlineStr">
        <is>
          <t>元大人壽</t>
        </is>
      </c>
      <c r="C63" s="3" t="inlineStr">
        <is>
          <t>通路行為風險模型：預測業務員風險；原文載明約減少 74% 需進階審查資料量，並捕捉約 70% 異常業務員。</t>
        </is>
      </c>
      <c r="D63" s="3" t="inlineStr">
        <is>
          <t>模型訓練</t>
        </is>
      </c>
    </row>
    <row r="64" ht="30" customHeight="1" s="18">
      <c r="A64" s="3" t="inlineStr">
        <is>
          <t>保險業</t>
        </is>
      </c>
      <c r="B64" s="3" t="inlineStr">
        <is>
          <t>元大人壽</t>
        </is>
      </c>
      <c r="C64" s="3" t="inlineStr">
        <is>
          <t>理賠詐欺風險模型：預測理賠申請風險；原文載明約減少 96% 需進階審查資料量，並捕捉約 95% 疑似理賠詐欺案件。</t>
        </is>
      </c>
      <c r="D64" s="3" t="inlineStr">
        <is>
          <t>阻詐</t>
        </is>
      </c>
    </row>
    <row r="65">
      <c r="A65" s="3" t="inlineStr">
        <is>
          <t>保險業</t>
        </is>
      </c>
      <c r="B65" s="3" t="inlineStr">
        <is>
          <t>凱基人壽</t>
        </is>
      </c>
      <c r="C65" s="3" t="inlineStr">
        <is>
          <t>保險商品輔銷文件（如商品簡介）合規預審：進行適法性比對。</t>
        </is>
      </c>
      <c r="D65" s="3" t="inlineStr">
        <is>
          <t>比對</t>
        </is>
      </c>
    </row>
    <row r="66">
      <c r="A66" s="3" t="inlineStr">
        <is>
          <t>保險業</t>
        </is>
      </c>
      <c r="B66" s="3" t="inlineStr">
        <is>
          <t>凱基人壽</t>
        </is>
      </c>
      <c r="C66" s="3" t="inlineStr">
        <is>
          <t>保險商品輔銷文件合規預審：生成預審檢核報告。</t>
        </is>
      </c>
      <c r="D66" s="3" t="inlineStr">
        <is>
          <t>生成式AI</t>
        </is>
      </c>
    </row>
    <row r="67">
      <c r="A67" s="3" t="inlineStr">
        <is>
          <t>保險業</t>
        </is>
      </c>
      <c r="B67" s="3" t="inlineStr">
        <is>
          <t>全球人壽</t>
        </is>
      </c>
      <c r="C67" s="3" t="inlineStr">
        <is>
          <t>與清大產學合作建置「AI 智能語音質檢」系統，全面檢視新契約電訪品質（原文未明示語音轉文字流程）。</t>
        </is>
      </c>
      <c r="D67" s="3" t="inlineStr">
        <is>
          <t>語音質檢/應用</t>
        </is>
      </c>
    </row>
    <row r="68">
      <c r="A68" s="3" t="inlineStr">
        <is>
          <t>保險業</t>
        </is>
      </c>
      <c r="B68" s="3" t="inlineStr">
        <is>
          <t>南山人壽</t>
        </is>
      </c>
      <c r="C68" s="3" t="inlineStr">
        <is>
          <t>AI 輔助核保流程（原文未詳述技術）。</t>
        </is>
      </c>
      <c r="D68" s="3" t="inlineStr">
        <is>
          <t>其它</t>
        </is>
      </c>
    </row>
    <row r="69">
      <c r="A69" s="3" t="inlineStr">
        <is>
          <t>保險業</t>
        </is>
      </c>
      <c r="B69" s="3" t="inlineStr">
        <is>
          <t>南山人壽</t>
        </is>
      </c>
      <c r="C69" s="3" t="inlineStr">
        <is>
          <t>AI 輔助理賠流程（原文未詳述技術）。</t>
        </is>
      </c>
      <c r="D69" s="3" t="inlineStr">
        <is>
          <t>其它</t>
        </is>
      </c>
    </row>
    <row r="70">
      <c r="A70" s="3" t="inlineStr">
        <is>
          <t>保險業</t>
        </is>
      </c>
      <c r="B70" s="3" t="inlineStr">
        <is>
          <t>南山人壽</t>
        </is>
      </c>
      <c r="C70" s="3" t="inlineStr">
        <is>
          <t>業務員 AI 智能對練（依角色對練用途判為生成式 AI）。</t>
        </is>
      </c>
      <c r="D70" s="3" t="inlineStr">
        <is>
          <t>生成式AI</t>
        </is>
      </c>
    </row>
    <row r="71">
      <c r="A71" s="3" t="inlineStr">
        <is>
          <t>保險業</t>
        </is>
      </c>
      <c r="B71" s="3" t="inlineStr">
        <is>
          <t>南山人壽</t>
        </is>
      </c>
      <c r="C71" s="3" t="inlineStr">
        <is>
          <t>法遵 AI 智能助理（原文未明示 RAG 或自主代理機制）。</t>
        </is>
      </c>
      <c r="D71" s="3" t="inlineStr">
        <is>
          <t>其它</t>
        </is>
      </c>
    </row>
    <row r="72">
      <c r="A72" s="3" t="inlineStr">
        <is>
          <t>保險業</t>
        </is>
      </c>
      <c r="B72" s="3" t="inlineStr">
        <is>
          <t>保誠人壽</t>
        </is>
      </c>
      <c r="C72" s="3" t="inlineStr">
        <is>
          <t>AI 核保：識別低風險客戶，結合簡化醫療問卷、交叉銷售及再次銷售以提升客戶體驗。</t>
        </is>
      </c>
      <c r="D72" s="3" t="inlineStr">
        <is>
          <t>其它</t>
        </is>
      </c>
    </row>
    <row r="73">
      <c r="A73" s="3" t="inlineStr">
        <is>
          <t>保險業</t>
        </is>
      </c>
      <c r="B73" s="3" t="inlineStr">
        <is>
          <t>科隆再保公司</t>
        </is>
      </c>
      <c r="C73" s="3" t="inlineStr">
        <is>
          <t>台灣分公司僅於內部作業使用 AI（原文未詳述場景）。</t>
        </is>
      </c>
      <c r="D73" s="3" t="inlineStr">
        <is>
          <t>其它</t>
        </is>
      </c>
    </row>
    <row r="74" ht="30" customHeight="1" s="18">
      <c r="A74" s="3" t="inlineStr">
        <is>
          <t>保險業</t>
        </is>
      </c>
      <c r="B74" s="3" t="inlineStr">
        <is>
          <t>中信產險</t>
        </is>
      </c>
      <c r="C74" s="3" t="inlineStr">
        <is>
          <t>投保文件智能辨識平台：以 AI OCR 結合電腦視覺與機器學習，自動辨識身分證件、行車執照與投保文件並擷取欄位，串接核保與核對機制。</t>
        </is>
      </c>
      <c r="D74" s="3" t="inlineStr">
        <is>
          <t>OCR</t>
        </is>
      </c>
    </row>
    <row r="75">
      <c r="A75" s="3" t="inlineStr">
        <is>
          <t>保險業</t>
        </is>
      </c>
      <c r="B75" s="3" t="inlineStr">
        <is>
          <t>科法斯產險</t>
        </is>
      </c>
      <c r="C75" s="3" t="inlineStr">
        <is>
          <t>導入 Microsoft Copilot，支援文件撰寫、資料摘要及內部溝通，並應用於風險管理與合規作業。</t>
        </is>
      </c>
      <c r="D75" s="3" t="inlineStr">
        <is>
          <t>M365 Copilot</t>
        </is>
      </c>
    </row>
    <row r="76" ht="30" customHeight="1" s="18">
      <c r="A76" s="3" t="inlineStr">
        <is>
          <t>保險業</t>
        </is>
      </c>
      <c r="B76" s="3" t="inlineStr">
        <is>
          <t>國泰產險</t>
        </is>
      </c>
      <c r="C76" s="3" t="inlineStr">
        <is>
          <t>「CarTech 智能車險加值服務」：結合車聯網數據、AI 風險預測、駕駛行為管理及顧問式損害防阻服務，以預防風險為核心。</t>
        </is>
      </c>
      <c r="D76" s="3" t="inlineStr">
        <is>
          <t>其它</t>
        </is>
      </c>
    </row>
    <row r="77">
      <c r="A77" s="3" t="inlineStr">
        <is>
          <t>保險業</t>
        </is>
      </c>
      <c r="B77" s="3" t="inlineStr">
        <is>
          <t>富邦產險</t>
        </is>
      </c>
      <c r="C77" s="3" t="inlineStr">
        <is>
          <t>語音自助服務：優化智能留單、保單查詢、智能補發及理賠進度查詢。</t>
        </is>
      </c>
      <c r="D77" s="3" t="inlineStr">
        <is>
          <t>語音質檢/應用</t>
        </is>
      </c>
    </row>
    <row r="78">
      <c r="A78" s="3" t="inlineStr">
        <is>
          <t>保險業</t>
        </is>
      </c>
      <c r="B78" s="3" t="inlineStr">
        <is>
          <t>新安東京產險</t>
        </is>
      </c>
      <c r="C78" s="3" t="inlineStr">
        <is>
          <t>以客戶風險模型輔助核保作業。</t>
        </is>
      </c>
      <c r="D78" s="3" t="inlineStr">
        <is>
          <t>模型訓練</t>
        </is>
      </c>
    </row>
    <row r="79">
      <c r="A79" s="3" t="inlineStr">
        <is>
          <t>保險業</t>
        </is>
      </c>
      <c r="B79" s="3" t="inlineStr">
        <is>
          <t>兆豐產險</t>
        </is>
      </c>
      <c r="C79" s="3" t="inlineStr">
        <is>
          <t>智能客服。</t>
        </is>
      </c>
      <c r="D79" s="3" t="inlineStr">
        <is>
          <t>智能客服</t>
        </is>
      </c>
    </row>
    <row r="80">
      <c r="A80" s="3" t="inlineStr">
        <is>
          <t>保險業</t>
        </is>
      </c>
      <c r="B80" s="3" t="inlineStr">
        <is>
          <t>兆豐產險</t>
        </is>
      </c>
      <c r="C80" s="3" t="inlineStr">
        <is>
          <t>機器人流程自動化（RPA）。</t>
        </is>
      </c>
      <c r="D80" s="3" t="inlineStr">
        <is>
          <t>RPA</t>
        </is>
      </c>
    </row>
    <row r="81" ht="45" customHeight="1" s="18">
      <c r="A81" s="3" t="inlineStr">
        <is>
          <t>保險業</t>
        </is>
      </c>
      <c r="B81" s="3" t="inlineStr">
        <is>
          <t>富邦綜合保險代理人股份有限公司</t>
        </is>
      </c>
      <c r="C81" s="3" t="inlineStr">
        <is>
          <t>以大型語言模型產出過往通話摘要、總結客戶需求，協助業務同仁及客服人員快速掌握歷史互動與客戶想法。</t>
        </is>
      </c>
      <c r="D81" s="3" t="inlineStr">
        <is>
          <t>生成式AI</t>
        </is>
      </c>
    </row>
    <row r="82" ht="45" customHeight="1" s="18">
      <c r="A82" s="3" t="inlineStr">
        <is>
          <t>保險業</t>
        </is>
      </c>
      <c r="B82" s="3" t="inlineStr">
        <is>
          <t>和安保險代理人股份有限公司</t>
        </is>
      </c>
      <c r="C82" s="3" t="inlineStr">
        <is>
          <t>推動「全員數位化」，導入 Gemini、Canva AI 等生成式工具製作會議資料、簡報與 DM。</t>
        </is>
      </c>
      <c r="D82" s="3" t="inlineStr">
        <is>
          <t>生成式AI</t>
        </is>
      </c>
    </row>
    <row r="83" ht="45" customHeight="1" s="18">
      <c r="A83" s="3" t="inlineStr">
        <is>
          <t>保險業</t>
        </is>
      </c>
      <c r="B83" s="3" t="inlineStr">
        <is>
          <t>和安保險代理人股份有限公司</t>
        </is>
      </c>
      <c r="C83" s="3" t="inlineStr">
        <is>
          <t>將 RPA 導入日常行政作業，減少重複、低價值作業。</t>
        </is>
      </c>
      <c r="D83" s="3" t="inlineStr">
        <is>
          <t>RPA</t>
        </is>
      </c>
    </row>
    <row r="84" ht="45" customHeight="1" s="18">
      <c r="A84" s="3" t="inlineStr">
        <is>
          <t>保險業</t>
        </is>
      </c>
      <c r="B84" s="3" t="inlineStr">
        <is>
          <t>遠傳保險代理人股份有限公司</t>
        </is>
      </c>
      <c r="C84" s="3" t="inlineStr">
        <is>
          <t>以 AI 分析客戶資料庫，進行精準行銷。</t>
        </is>
      </c>
      <c r="D84" s="3" t="inlineStr">
        <is>
          <t>其它</t>
        </is>
      </c>
    </row>
    <row r="85" ht="45" customHeight="1" s="18">
      <c r="A85" s="3" t="inlineStr">
        <is>
          <t>保險業</t>
        </is>
      </c>
      <c r="B85" s="3" t="inlineStr">
        <is>
          <t>智匯保險經紀人股份有限公司</t>
        </is>
      </c>
      <c r="C85" s="3" t="inlineStr">
        <is>
          <t>保單健診（原文未交代比對機制）。</t>
        </is>
      </c>
      <c r="D85" s="3" t="inlineStr">
        <is>
          <t>其它</t>
        </is>
      </c>
    </row>
    <row r="86" ht="45" customHeight="1" s="18">
      <c r="A86" s="3" t="inlineStr">
        <is>
          <t>保險業</t>
        </is>
      </c>
      <c r="B86" s="3" t="inlineStr">
        <is>
          <t>智匯保險經紀人股份有限公司</t>
        </is>
      </c>
      <c r="C86" s="3" t="inlineStr">
        <is>
          <t>智能客服。</t>
        </is>
      </c>
      <c r="D86" s="3" t="inlineStr">
        <is>
          <t>智能客服</t>
        </is>
      </c>
    </row>
    <row r="87" ht="45" customHeight="1" s="18">
      <c r="A87" s="3" t="inlineStr">
        <is>
          <t>保險業</t>
        </is>
      </c>
      <c r="B87" s="3" t="inlineStr">
        <is>
          <t>錠嵂保險經紀人股份有限公司</t>
        </is>
      </c>
      <c r="C87" s="3" t="inlineStr">
        <is>
          <t>保單健診（原文未交代比對機制）。</t>
        </is>
      </c>
      <c r="D87" s="3" t="inlineStr">
        <is>
          <t>其它</t>
        </is>
      </c>
    </row>
    <row r="88" ht="45" customHeight="1" s="18">
      <c r="A88" s="3" t="inlineStr">
        <is>
          <t>保險業</t>
        </is>
      </c>
      <c r="B88" s="3" t="inlineStr">
        <is>
          <t>錠嵂保險經紀人股份有限公司</t>
        </is>
      </c>
      <c r="C88" s="3" t="inlineStr">
        <is>
          <t>智能客服。</t>
        </is>
      </c>
      <c r="D88" s="3" t="inlineStr">
        <is>
          <t>智能客服</t>
        </is>
      </c>
    </row>
    <row r="89" ht="45" customHeight="1" s="18">
      <c r="A89" s="3" t="inlineStr">
        <is>
          <t>保險業</t>
        </is>
      </c>
      <c r="B89" s="3" t="inlineStr">
        <is>
          <t>錠嵂保險經紀人股份有限公司</t>
        </is>
      </c>
      <c r="C89" s="3" t="inlineStr">
        <is>
          <t>考照教練（原文未詳述技術）。</t>
        </is>
      </c>
      <c r="D89" s="3" t="inlineStr">
        <is>
          <t>其它</t>
        </is>
      </c>
    </row>
    <row r="90" ht="45" customHeight="1" s="18">
      <c r="A90" s="3" t="inlineStr">
        <is>
          <t>保險業</t>
        </is>
      </c>
      <c r="B90" s="3" t="inlineStr">
        <is>
          <t>公勝保險經紀人股份有限公司</t>
        </is>
      </c>
      <c r="C90" s="3" t="inlineStr">
        <is>
          <t>內部 KM 知識管理應用（原文未明示 RAG）。</t>
        </is>
      </c>
      <c r="D90" s="3" t="inlineStr">
        <is>
          <t>RAG/KM</t>
        </is>
      </c>
    </row>
    <row r="91" ht="45" customHeight="1" s="18">
      <c r="A91" s="3" t="inlineStr">
        <is>
          <t>保險業</t>
        </is>
      </c>
      <c r="B91" s="3" t="inlineStr">
        <is>
          <t>公勝保險經紀人股份有限公司</t>
        </is>
      </c>
      <c r="C91" s="3" t="inlineStr">
        <is>
          <t>內部流程自動化。</t>
        </is>
      </c>
      <c r="D91" s="3" t="inlineStr">
        <is>
          <t>RPA</t>
        </is>
      </c>
    </row>
    <row r="92" ht="45" customHeight="1" s="18">
      <c r="A92" s="3" t="inlineStr">
        <is>
          <t>保險業</t>
        </is>
      </c>
      <c r="B92" s="3" t="inlineStr">
        <is>
          <t>公勝保險經紀人股份有限公司</t>
        </is>
      </c>
      <c r="C92" s="3" t="inlineStr">
        <is>
          <t>內部生成應用。</t>
        </is>
      </c>
      <c r="D92" s="3" t="inlineStr">
        <is>
          <t>生成式AI</t>
        </is>
      </c>
    </row>
    <row r="93" ht="45" customHeight="1" s="18">
      <c r="A93" s="3" t="inlineStr">
        <is>
          <t>保險業</t>
        </is>
      </c>
      <c r="B93" s="3" t="inlineStr">
        <is>
          <t>公勝保險經紀人股份有限公司</t>
        </is>
      </c>
      <c r="C93" s="3" t="inlineStr">
        <is>
          <t>子公司財富規劃建議模組。</t>
        </is>
      </c>
      <c r="D93" s="3" t="inlineStr">
        <is>
          <t>其它</t>
        </is>
      </c>
    </row>
    <row r="94" ht="60" customHeight="1" s="18">
      <c r="A94" s="3" t="inlineStr">
        <is>
          <t>保險業</t>
        </is>
      </c>
      <c r="B94" s="3" t="inlineStr">
        <is>
          <t>美商達信保險經紀人股份有限公司台灣分公司</t>
        </is>
      </c>
      <c r="C94" s="3" t="inlineStr">
        <is>
          <t>支援多國語言，提供答案理由與來源（如內部文件）；依文件來源問答用途推定為 RAG，原文未明示技術。</t>
        </is>
      </c>
      <c r="D94" s="3" t="inlineStr">
        <is>
          <t>RAG/KM</t>
        </is>
      </c>
    </row>
    <row r="95" ht="45" customHeight="1" s="18">
      <c r="A95" s="3" t="inlineStr">
        <is>
          <t>保險業</t>
        </is>
      </c>
      <c r="B95" s="3" t="inlineStr">
        <is>
          <t>永達保險經紀人股份有限公司</t>
        </is>
      </c>
      <c r="C95" s="3" t="inlineStr">
        <is>
          <t>機器人流程自動化：應用於內部行政作業流程，提升效率與生產力。</t>
        </is>
      </c>
      <c r="D95" s="3" t="inlineStr">
        <is>
          <t>RPA</t>
        </is>
      </c>
    </row>
    <row r="96" ht="45" customHeight="1" s="18">
      <c r="A96" s="3" t="inlineStr">
        <is>
          <t>保險業</t>
        </is>
      </c>
      <c r="B96" s="3" t="inlineStr">
        <is>
          <t>財團法人汽車交通事故特別補償基金</t>
        </is>
      </c>
      <c r="C96" s="3" t="inlineStr">
        <is>
          <t>以生成式 AI 服務自動將會議錄音檔轉成文字。</t>
        </is>
      </c>
      <c r="D96" s="3" t="inlineStr">
        <is>
          <t>語音質檢/應用</t>
        </is>
      </c>
    </row>
    <row r="97" ht="45" customHeight="1" s="18">
      <c r="A97" s="3" t="inlineStr">
        <is>
          <t>保險業</t>
        </is>
      </c>
      <c r="B97" s="3" t="inlineStr">
        <is>
          <t>財團法人汽車交通事故特別補償基金</t>
        </is>
      </c>
      <c r="C97" s="3" t="inlineStr">
        <is>
          <t>以生成式 AI 擷取會議重點摘要，並自動生成符合內部會議紀錄格式的電子檔。</t>
        </is>
      </c>
      <c r="D97" s="3" t="inlineStr">
        <is>
          <t>生成式AI</t>
        </is>
      </c>
    </row>
    <row r="98">
      <c r="A98" s="3" t="inlineStr">
        <is>
          <t>證券期貨業</t>
        </is>
      </c>
      <c r="B98" s="3" t="inlineStr">
        <is>
          <t>口袋證券</t>
        </is>
      </c>
      <c r="C98" s="3" t="inlineStr">
        <is>
          <t>導入 OpenAI 大型語言模型並結合 RAG，整理股票客觀公開資訊。</t>
        </is>
      </c>
      <c r="D98" s="3" t="inlineStr">
        <is>
          <t>RAG/KM</t>
        </is>
      </c>
    </row>
    <row r="99">
      <c r="A99" s="3" t="inlineStr">
        <is>
          <t>證券期貨業</t>
        </is>
      </c>
      <c r="B99" s="3" t="inlineStr">
        <is>
          <t>口袋證券</t>
        </is>
      </c>
      <c r="C99" s="3" t="inlineStr">
        <is>
          <t>以大型語言模型結合 RAG 提供智能客服，協助投資人取得公開資訊。</t>
        </is>
      </c>
      <c r="D99" s="3" t="inlineStr">
        <is>
          <t>智能客服</t>
        </is>
      </c>
    </row>
    <row r="100">
      <c r="A100" s="3" t="inlineStr">
        <is>
          <t>證券期貨業</t>
        </is>
      </c>
      <c r="B100" s="3" t="inlineStr">
        <is>
          <t>大昌證券</t>
        </is>
      </c>
      <c r="C100" s="3" t="inlineStr">
        <is>
          <t>行銷內容生成。</t>
        </is>
      </c>
      <c r="D100" s="3" t="inlineStr">
        <is>
          <t>生成式AI</t>
        </is>
      </c>
    </row>
    <row r="101">
      <c r="A101" s="3" t="inlineStr">
        <is>
          <t>證券期貨業</t>
        </is>
      </c>
      <c r="B101" s="3" t="inlineStr">
        <is>
          <t>統一證券</t>
        </is>
      </c>
      <c r="C101" s="3" t="inlineStr">
        <is>
          <t>總公司部分人員導入 M365 Copilot，並舉辦黑客松競賽，改善內部作業流程與工作效率。</t>
        </is>
      </c>
      <c r="D101" s="3" t="inlineStr">
        <is>
          <t>M365 Copilot</t>
        </is>
      </c>
    </row>
    <row r="102" ht="30" customHeight="1" s="18">
      <c r="A102" s="3" t="inlineStr">
        <is>
          <t>證券期貨業</t>
        </is>
      </c>
      <c r="B102" s="3" t="inlineStr">
        <is>
          <t>凱基證券</t>
        </is>
      </c>
      <c r="C102" s="3" t="inlineStr">
        <is>
          <t>eKYC：於線上開戶及額度調整流程，以監督式機器學習分析結構化客戶資料進行風險推估；非生成式 AI，額度結果供參考並由人工最終審核。</t>
        </is>
      </c>
      <c r="D102" s="3" t="inlineStr">
        <is>
          <t>其它</t>
        </is>
      </c>
    </row>
    <row r="103" ht="30" customHeight="1" s="18">
      <c r="A103" s="3" t="inlineStr">
        <is>
          <t>證券期貨業</t>
        </is>
      </c>
      <c r="B103" s="3" t="inlineStr">
        <is>
          <t>富邦證券</t>
        </is>
      </c>
      <c r="C103" s="3" t="inlineStr">
        <is>
          <t>AI 投資助理：解析市場動態並回答投資問題、快速摘要美股法說會重點，以及提供每日 AI 盤前資訊播報（原文未交代語音合成技術）。</t>
        </is>
      </c>
      <c r="D103" s="3" t="inlineStr">
        <is>
          <t>生成式AI</t>
        </is>
      </c>
    </row>
    <row r="104">
      <c r="A104" s="3" t="inlineStr">
        <is>
          <t>證券期貨業</t>
        </is>
      </c>
      <c r="B104" s="3" t="inlineStr">
        <is>
          <t>華南證券</t>
        </is>
      </c>
      <c r="C104" s="3" t="inlineStr">
        <is>
          <t>「AI 投資早報」：整合全球市場動態產出早報，遵循 AI 輔助、人工定稿，並經專業團隊深度審核。</t>
        </is>
      </c>
      <c r="D104" s="3" t="inlineStr">
        <is>
          <t>生成式AI</t>
        </is>
      </c>
    </row>
    <row r="105">
      <c r="A105" s="3" t="inlineStr">
        <is>
          <t>證券期貨業</t>
        </is>
      </c>
      <c r="B105" s="3" t="inlineStr">
        <is>
          <t>永豐金證券</t>
        </is>
      </c>
      <c r="C105" s="3" t="inlineStr">
        <is>
          <t>個股 AI 市場輿情分析及每日投資早報（原文未詳述輿情分析技術；依指定整合為一筆，歸類為生成式AI）。</t>
        </is>
      </c>
      <c r="D105" s="3" t="inlineStr">
        <is>
          <t>生成式AI</t>
        </is>
      </c>
    </row>
    <row r="106">
      <c r="A106" s="3" t="inlineStr">
        <is>
          <t>證券期貨業</t>
        </is>
      </c>
      <c r="B106" s="3" t="inlineStr">
        <is>
          <t>玉山證券</t>
        </is>
      </c>
      <c r="C106" s="3" t="inlineStr">
        <is>
          <t>ETF 智能投資策略互動平台：透過趣味問答與角色互動，即時生成個人化 ETF 投資組合建議。</t>
        </is>
      </c>
      <c r="D106" s="3" t="inlineStr">
        <is>
          <t>生成式AI</t>
        </is>
      </c>
    </row>
    <row r="107">
      <c r="A107" s="3" t="inlineStr">
        <is>
          <t>證券期貨業</t>
        </is>
      </c>
      <c r="B107" s="3" t="inlineStr">
        <is>
          <t>國泰證券</t>
        </is>
      </c>
      <c r="C107" s="3" t="inlineStr">
        <is>
          <t>「庫存管家」：以客戶持股為核心，透過 AI 提供個人化推播，協助掌握庫存狀況。</t>
        </is>
      </c>
      <c r="D107" s="3" t="inlineStr">
        <is>
          <t>其它</t>
        </is>
      </c>
    </row>
    <row r="108">
      <c r="A108" s="3" t="inlineStr">
        <is>
          <t>證券期貨業</t>
        </is>
      </c>
      <c r="B108" s="3" t="inlineStr">
        <is>
          <t>德信證券</t>
        </is>
      </c>
      <c r="C108" s="3" t="inlineStr">
        <is>
          <t>財經知識內容教育（原文未詳述生成或問答技術）。</t>
        </is>
      </c>
      <c r="D108" s="3" t="inlineStr">
        <is>
          <t>其它</t>
        </is>
      </c>
    </row>
    <row r="109">
      <c r="A109" s="3" t="inlineStr">
        <is>
          <t>證券期貨業</t>
        </is>
      </c>
      <c r="B109" s="3" t="inlineStr">
        <is>
          <t>台新證券</t>
        </is>
      </c>
      <c r="C109" s="3" t="inlineStr">
        <is>
          <t>智能客服。</t>
        </is>
      </c>
      <c r="D109" s="3" t="inlineStr">
        <is>
          <t>智能客服</t>
        </is>
      </c>
    </row>
    <row r="110">
      <c r="A110" s="3" t="inlineStr">
        <is>
          <t>證券期貨業</t>
        </is>
      </c>
      <c r="B110" s="3" t="inlineStr">
        <is>
          <t>群益期貨</t>
        </is>
      </c>
      <c r="C110" s="3" t="inlineStr">
        <is>
          <t>智能客服。</t>
        </is>
      </c>
      <c r="D110" s="3" t="inlineStr">
        <is>
          <t>智能客服</t>
        </is>
      </c>
    </row>
    <row r="111">
      <c r="A111" s="3" t="inlineStr">
        <is>
          <t>證券期貨業</t>
        </is>
      </c>
      <c r="B111" s="3" t="inlineStr">
        <is>
          <t>群益期貨</t>
        </is>
      </c>
      <c r="C111" s="3" t="inlineStr">
        <is>
          <t>知識管理（原文未明示 RAG）。</t>
        </is>
      </c>
      <c r="D111" s="3" t="inlineStr">
        <is>
          <t>RAG/KM</t>
        </is>
      </c>
    </row>
    <row r="112">
      <c r="A112" s="3" t="inlineStr">
        <is>
          <t>證券期貨業</t>
        </is>
      </c>
      <c r="B112" s="3" t="inlineStr">
        <is>
          <t>群益期貨</t>
        </is>
      </c>
      <c r="C112" s="3" t="inlineStr">
        <is>
          <t>文件分析（原文未交代具體技術）。</t>
        </is>
      </c>
      <c r="D112" s="3" t="inlineStr">
        <is>
          <t>生成式AI</t>
        </is>
      </c>
    </row>
    <row r="113">
      <c r="A113" s="3" t="inlineStr">
        <is>
          <t>證券期貨業</t>
        </is>
      </c>
      <c r="B113" s="3" t="inlineStr">
        <is>
          <t>群益期貨</t>
        </is>
      </c>
      <c r="C113" s="3" t="inlineStr">
        <is>
          <t>風險控管；配合資訊安全與內控制度，符合金融監理要求。</t>
        </is>
      </c>
      <c r="D113" s="3" t="inlineStr">
        <is>
          <t>其它</t>
        </is>
      </c>
    </row>
    <row r="114" ht="30" customHeight="1" s="18">
      <c r="A114" s="3" t="inlineStr">
        <is>
          <t>證券期貨業</t>
        </is>
      </c>
      <c r="B114" s="3" t="inlineStr">
        <is>
          <t>統一期貨</t>
        </is>
      </c>
      <c r="C114" s="3" t="inlineStr">
        <is>
          <t>以 AI 自動整理資料、生成簡報及處理複雜文件，減少重複性作業、提升工作效率與品質，並透過人機協作加速工作流程（原文未詳述文件處理技術；依指定歸類為 M365 Copilot）。</t>
        </is>
      </c>
      <c r="D114" s="3" t="inlineStr">
        <is>
          <t>M365 Copilot</t>
        </is>
      </c>
    </row>
    <row r="115" ht="45" customHeight="1" s="18">
      <c r="A115" s="3" t="inlineStr">
        <is>
          <t>證券期貨業</t>
        </is>
      </c>
      <c r="B115" s="3" t="inlineStr">
        <is>
          <t>富邦期貨</t>
        </is>
      </c>
      <c r="C115" s="3" t="inlineStr">
        <is>
          <t>「富邦 AI PRO App」：內建 AI 投資助理，即時解析市場訊息並回答投資問題；快速彙整法說會重點；透過 AI 主播每日播報盤前焦點資訊（原文未交代語音合成技術）；並依個人偏好推送個股新聞事件、盤勢摘要與策略資訊。</t>
        </is>
      </c>
      <c r="D115" s="3" t="inlineStr">
        <is>
          <t>App</t>
        </is>
      </c>
    </row>
    <row r="116" ht="30" customHeight="1" s="18">
      <c r="A116" s="3" t="inlineStr">
        <is>
          <t>證券期貨業</t>
        </is>
      </c>
      <c r="B116" s="3" t="inlineStr">
        <is>
          <t>景順投信</t>
        </is>
      </c>
      <c r="C116" s="3" t="inlineStr">
        <is>
          <t>Copilot M365 結合 Teams、Outlook、Word、Excel 及 PowerPoint：產出會議紀錄與行動項目、摘要郵件與建議回覆、撰寫文件、分析數據及生成簡報。</t>
        </is>
      </c>
      <c r="D116" s="3" t="inlineStr">
        <is>
          <t>M365 Copilot</t>
        </is>
      </c>
    </row>
    <row r="117">
      <c r="A117" s="3" t="inlineStr">
        <is>
          <t>證券期貨業</t>
        </is>
      </c>
      <c r="B117" s="3" t="inlineStr">
        <is>
          <t>摩根投信</t>
        </is>
      </c>
      <c r="C117" s="3" t="inlineStr">
        <is>
          <t>內部影音生成，支援部門日常流程與專業工作。</t>
        </is>
      </c>
      <c r="D117" s="3" t="inlineStr">
        <is>
          <t>生成式AI</t>
        </is>
      </c>
    </row>
    <row r="118">
      <c r="A118" s="3" t="inlineStr">
        <is>
          <t>證券期貨業</t>
        </is>
      </c>
      <c r="B118" s="3" t="inlineStr">
        <is>
          <t>摩根投信</t>
        </is>
      </c>
      <c r="C118" s="3" t="inlineStr">
        <is>
          <t>內部資訊分析整理。</t>
        </is>
      </c>
      <c r="D118" s="3" t="inlineStr">
        <is>
          <t>生成式AI</t>
        </is>
      </c>
    </row>
    <row r="119">
      <c r="A119" s="3" t="inlineStr">
        <is>
          <t>證券期貨業</t>
        </is>
      </c>
      <c r="B119" s="3" t="inlineStr">
        <is>
          <t>摩根投信</t>
        </is>
      </c>
      <c r="C119" s="3" t="inlineStr">
        <is>
          <t>交易執行優化輔助。</t>
        </is>
      </c>
      <c r="D119" s="3" t="inlineStr">
        <is>
          <t>其它</t>
        </is>
      </c>
    </row>
    <row r="120">
      <c r="A120" s="3" t="inlineStr">
        <is>
          <t>證券期貨業</t>
        </is>
      </c>
      <c r="B120" s="3" t="inlineStr">
        <is>
          <t>摩根投信</t>
        </is>
      </c>
      <c r="C120" s="3" t="inlineStr">
        <is>
          <t>員工通用 AI 生產力輔助工具（原文未詳述功能，判斷為M365 Copilot）。</t>
        </is>
      </c>
      <c r="D120" s="3" t="inlineStr">
        <is>
          <t>M365 Copilot</t>
        </is>
      </c>
    </row>
    <row r="121" ht="30" customHeight="1" s="18">
      <c r="A121" s="3" t="inlineStr">
        <is>
          <t>證券期貨業</t>
        </is>
      </c>
      <c r="B121" s="3" t="inlineStr">
        <is>
          <t>瑞銀投信</t>
        </is>
      </c>
      <c r="C121" s="3" t="inlineStr">
        <is>
          <t>導入微軟 Copilot，協助產出文件草稿、簡報大綱與會議摘要；僅作為決策支援，最終決策由具資格人員審核確認。</t>
        </is>
      </c>
      <c r="D121" s="3" t="inlineStr">
        <is>
          <t>M365 Copilot</t>
        </is>
      </c>
    </row>
    <row r="122">
      <c r="A122" s="3" t="inlineStr">
        <is>
          <t>證券期貨業</t>
        </is>
      </c>
      <c r="B122" s="3" t="inlineStr">
        <is>
          <t>群益投信</t>
        </is>
      </c>
      <c r="C122" s="3" t="inlineStr">
        <is>
          <t>即時負面新聞自動化：爬取公開新聞內文，以 LLM 判別新聞中的嫌疑人名並自動建檔。</t>
        </is>
      </c>
      <c r="D122" s="3" t="inlineStr">
        <is>
          <t>生成式AI</t>
        </is>
      </c>
    </row>
    <row r="123" ht="30" customHeight="1" s="18">
      <c r="A123" s="3" t="inlineStr">
        <is>
          <t>證券期貨業</t>
        </is>
      </c>
      <c r="B123" s="3" t="inlineStr">
        <is>
          <t>聯博投信</t>
        </is>
      </c>
      <c r="C123" s="3" t="inlineStr">
        <is>
          <t>ABAI：透過單一 API 提供員工閉源與開源大型語言模型環境，支援 GPT、Gemini 等模型及內部投資、通路、營運需求。</t>
        </is>
      </c>
      <c r="D123" s="3" t="inlineStr">
        <is>
          <t>生成式AI</t>
        </is>
      </c>
    </row>
    <row r="124" ht="45" customHeight="1" s="18">
      <c r="A124" s="3" t="inlineStr">
        <is>
          <t>證券期貨業</t>
        </is>
      </c>
      <c r="B124" s="3" t="inlineStr">
        <is>
          <t>聯博投信</t>
        </is>
      </c>
      <c r="C124" s="3" t="inlineStr">
        <is>
          <t>ABAI：可存取文件與資料並提供聊天查詢（依文件資料問答用途推定涉及 RAG，原文未明示技術）；以大型語言模型環境提供資料抽取，並提供文件比較、圖表生成及 Text-to-SQL 功能，以及透過安全 API 支援量化研究與開發團隊。</t>
        </is>
      </c>
      <c r="D124" s="3" t="inlineStr">
        <is>
          <t>其它</t>
        </is>
      </c>
    </row>
    <row r="125">
      <c r="A125" s="3" t="inlineStr">
        <is>
          <t>證券期貨業</t>
        </is>
      </c>
      <c r="B125" s="3" t="inlineStr">
        <is>
          <t>復華投信</t>
        </is>
      </c>
      <c r="C125" s="3" t="inlineStr">
        <is>
          <t>AI OCR 表單辨識。</t>
        </is>
      </c>
      <c r="D125" s="3" t="inlineStr">
        <is>
          <t>OCR</t>
        </is>
      </c>
    </row>
    <row r="126">
      <c r="A126" s="3" t="inlineStr">
        <is>
          <t>證券期貨業</t>
        </is>
      </c>
      <c r="B126" s="3" t="inlineStr">
        <is>
          <t>野村投信</t>
        </is>
      </c>
      <c r="C126" s="3" t="inlineStr">
        <is>
          <t>依基金經理人決定的投資策略，輔助生成「四大投資流程」之投資分析報告，減輕文書負擔。</t>
        </is>
      </c>
      <c r="D126" s="3" t="inlineStr">
        <is>
          <t>生成式AI</t>
        </is>
      </c>
    </row>
    <row r="127">
      <c r="A127" s="3" t="inlineStr">
        <is>
          <t>證券期貨業</t>
        </is>
      </c>
      <c r="B127" s="3" t="inlineStr">
        <is>
          <t>東方匯理投信</t>
        </is>
      </c>
      <c r="C127" s="3" t="inlineStr">
        <is>
          <t>以集團 Alto Studio AI 進行文件資料匯總。</t>
        </is>
      </c>
      <c r="D127" s="3" t="inlineStr">
        <is>
          <t>生成式AI</t>
        </is>
      </c>
    </row>
    <row r="128">
      <c r="A128" s="3" t="inlineStr">
        <is>
          <t>證券期貨業</t>
        </is>
      </c>
      <c r="B128" s="3" t="inlineStr">
        <is>
          <t>東方匯理投信</t>
        </is>
      </c>
      <c r="C128" s="3" t="inlineStr">
        <is>
          <t>以集團 Alto Studio AI 進行文件翻譯。</t>
        </is>
      </c>
      <c r="D128" s="3" t="inlineStr">
        <is>
          <t>生成式AI</t>
        </is>
      </c>
    </row>
    <row r="129">
      <c r="A129" s="3" t="inlineStr">
        <is>
          <t>證券期貨業</t>
        </is>
      </c>
      <c r="B129" s="3" t="inlineStr">
        <is>
          <t>富達投信</t>
        </is>
      </c>
      <c r="C129" s="3" t="inlineStr">
        <is>
          <t>導入 Microsoft Copilot，協助日常文件生成、會議重點整理、資料分析及郵件撰寫。</t>
        </is>
      </c>
      <c r="D129" s="3" t="inlineStr">
        <is>
          <t>M365 Copilot</t>
        </is>
      </c>
    </row>
    <row r="130">
      <c r="A130" s="3" t="inlineStr">
        <is>
          <t>證券期貨業</t>
        </is>
      </c>
      <c r="B130" s="3" t="inlineStr">
        <is>
          <t>路博邁投信</t>
        </is>
      </c>
      <c r="C130" s="3" t="inlineStr">
        <is>
          <t>僅運用內部聊天機器人支援行政處理與分析作業（非對客客服，原文未明示 RAG）。</t>
        </is>
      </c>
      <c r="D130" s="3" t="inlineStr">
        <is>
          <t>其它</t>
        </is>
      </c>
    </row>
    <row r="131">
      <c r="A131" s="3" t="inlineStr">
        <is>
          <t>證券期貨業</t>
        </is>
      </c>
      <c r="B131" s="3" t="inlineStr">
        <is>
          <t>富蘭克林投顧</t>
        </is>
      </c>
      <c r="C131" s="3" t="inlineStr">
        <is>
          <t>以 AI 製作廣告素材，於符合作業程序下減少時間與人工成本。</t>
        </is>
      </c>
      <c r="D131" s="3" t="inlineStr">
        <is>
          <t>生成式AI</t>
        </is>
      </c>
    </row>
    <row r="132" ht="30" customHeight="1" s="18">
      <c r="A132" s="3" t="inlineStr">
        <is>
          <t>證券期貨業</t>
        </is>
      </c>
      <c r="B132" s="3" t="inlineStr">
        <is>
          <t>法盛投顧</t>
        </is>
      </c>
      <c r="C132" s="3" t="inlineStr">
        <is>
          <t>使用母公司 BPCE Group 開發部署的 AI 工具，僅支援台灣員工行政與日常作業，如文書撰寫、資料整理及會議紀錄，不用於客戶溝通。</t>
        </is>
      </c>
      <c r="D132" s="3" t="inlineStr">
        <is>
          <t>生成式AI</t>
        </is>
      </c>
    </row>
    <row r="133" ht="30" customHeight="1" s="18">
      <c r="A133" s="3" t="inlineStr">
        <is>
          <t>證券期貨業</t>
        </is>
      </c>
      <c r="B133" s="3" t="inlineStr">
        <is>
          <t>阿爾發投顧</t>
        </is>
      </c>
      <c r="C133" s="3" t="inlineStr">
        <is>
          <t>「AI 投資長（CIO）」：結合外部專業顧問團隊、專業理財顧問及 24H 智慧監控，提供策略配置、信託規劃與員工福儲等機構資產管理服務（原文未明示自主 AI Agent）。</t>
        </is>
      </c>
      <c r="D133" s="3" t="inlineStr">
        <is>
          <t>其它</t>
        </is>
      </c>
    </row>
    <row r="134">
      <c r="A134" s="3" t="inlineStr">
        <is>
          <t>證券期貨業</t>
        </is>
      </c>
      <c r="B134" s="3" t="inlineStr">
        <is>
          <t>證券交易所</t>
        </is>
      </c>
      <c r="C134" s="3" t="inlineStr">
        <is>
          <t>以語音轉文字等 AI 技術提升市場監理作業效率。</t>
        </is>
      </c>
      <c r="D134" s="3" t="inlineStr">
        <is>
          <t>語音質檢/應用</t>
        </is>
      </c>
    </row>
    <row r="135">
      <c r="A135" s="3" t="inlineStr">
        <is>
          <t>證券期貨業</t>
        </is>
      </c>
      <c r="B135" s="3" t="inlineStr">
        <is>
          <t>期貨交易所</t>
        </is>
      </c>
      <c r="C135" s="3" t="inlineStr">
        <is>
          <t>以機器學習異常偵測演算法，辨識疑似異常交易委託行為，輔助市場監理。</t>
        </is>
      </c>
      <c r="D135" s="3" t="inlineStr">
        <is>
          <t>其它</t>
        </is>
      </c>
    </row>
    <row r="136">
      <c r="A136" t="inlineStr">
        <is>
          <t>銀行業</t>
        </is>
      </c>
      <c r="B136" t="inlineStr">
        <is>
          <t>臺灣中小企業銀行</t>
        </is>
      </c>
      <c r="C136" t="inlineStr">
        <is>
          <t>「AI 模型投資阻詐示警服務」：結合警政署 165 數據與機器學習，從受害者視角捕捉異常轉帳特徵（如異於日常頻率、小額測試），前端即時主動示警，模型精確率逾五成。</t>
        </is>
      </c>
      <c r="D136" t="inlineStr">
        <is>
          <t>阻詐</t>
        </is>
      </c>
    </row>
    <row r="137">
      <c r="A137" t="inlineStr">
        <is>
          <t>銀行業</t>
        </is>
      </c>
      <c r="B137" t="inlineStr">
        <is>
          <t>臺灣中小企業銀行</t>
        </is>
      </c>
      <c r="C137" t="inlineStr">
        <is>
          <t>「天眼識詐模型」：運用 AI 與深度學習分析帳戶交易頻率與金流特徵，即時發出警示輔助行員關懷提問，異常帳戶偵測率達七成。</t>
        </is>
      </c>
      <c r="D137" t="inlineStr">
        <is>
          <t>阻詐</t>
        </is>
      </c>
    </row>
    <row r="138">
      <c r="A138" t="inlineStr">
        <is>
          <t>銀行業</t>
        </is>
      </c>
      <c r="B138" t="inlineStr">
        <is>
          <t>元大銀行</t>
        </is>
      </c>
      <c r="C138" t="inlineStr">
        <is>
          <t>「元先生」雙腦智能客服：結合諮詢腦（FAQ）與查詢腦（NLU）之雙腦 AI，支援多意圖識別，回答精準度達 9 成以上。</t>
        </is>
      </c>
      <c r="D138" t="inlineStr">
        <is>
          <t>智能客服</t>
        </is>
      </c>
    </row>
    <row r="139">
      <c r="A139" t="inlineStr">
        <is>
          <t>銀行業</t>
        </is>
      </c>
      <c r="B139" t="inlineStr">
        <is>
          <t>華南銀行</t>
        </is>
      </c>
      <c r="C139" t="inlineStr">
        <is>
          <t>資訊單位導入 GitHub Copilot 協作代理人，協助工程師進行程式碼建議、弱點修補與單元測試生成。</t>
        </is>
      </c>
      <c r="D139" t="inlineStr">
        <is>
          <t>程式助手</t>
        </is>
      </c>
    </row>
    <row r="140">
      <c r="A140" t="inlineStr">
        <is>
          <t>銀行業</t>
        </is>
      </c>
      <c r="B140" t="inlineStr">
        <is>
          <t>國泰世華銀行</t>
        </is>
      </c>
      <c r="C140" t="inlineStr">
        <is>
          <t>GAIA 2.0 智慧文檔處理（IDP）：以多代理（Multi-Agent）架構自動摘要聯貸合約與法規關鍵風險。</t>
        </is>
      </c>
      <c r="D140" t="inlineStr">
        <is>
          <t>生成式AI</t>
        </is>
      </c>
    </row>
    <row r="141">
      <c r="A141" t="inlineStr">
        <is>
          <t>銀行業</t>
        </is>
      </c>
      <c r="B141" t="inlineStr">
        <is>
          <t>台新銀行</t>
        </is>
      </c>
      <c r="C141" t="inlineStr">
        <is>
          <t>「AI企業徵信平台」：運用 AI 於企業徵信與授信評估，自動辨識財力文件、驗證數據並產製報告，提升報告產製時效與風險辨識。</t>
        </is>
      </c>
      <c r="D141" t="inlineStr">
        <is>
          <t>生成式AI</t>
        </is>
      </c>
    </row>
    <row r="142">
      <c r="A142" t="inlineStr">
        <is>
          <t>銀行業</t>
        </is>
      </c>
      <c r="B142" t="inlineStr">
        <is>
          <t>台新銀行</t>
        </is>
      </c>
      <c r="C142" t="inlineStr">
        <is>
          <t>「RICHIE 智慧推薦引擎」：於 Richart App 中透過 AI 分析客戶行為與交易紀錄，主動提供個人化金融服務與理財建議。</t>
        </is>
      </c>
      <c r="D142" t="inlineStr">
        <is>
          <t>App</t>
        </is>
      </c>
    </row>
    <row r="143">
      <c r="A143" t="inlineStr">
        <is>
          <t>證券期貨業</t>
        </is>
      </c>
      <c r="B143" t="inlineStr">
        <is>
          <t>永豐金證券</t>
        </is>
      </c>
      <c r="C143" t="inlineStr">
        <is>
          <t>大戶投 App 導入自主開發 AI 智能引擎與 RAG 技術，推出個人化智能庫存日報與情緒雷達，根據用戶持股盤前自動整理相關新聞與觀點。</t>
        </is>
      </c>
      <c r="D143" t="inlineStr">
        <is>
          <t>App</t>
        </is>
      </c>
    </row>
    <row r="144">
      <c r="A144" t="inlineStr">
        <is>
          <t>證券期貨業</t>
        </is>
      </c>
      <c r="B144" t="inlineStr">
        <is>
          <t>元大證券</t>
        </is>
      </c>
      <c r="C144" t="inlineStr">
        <is>
          <t>導入 AI 威脅辨識與自動化資安應變防禦系統，將資安防禦從被動防禦提升至主動預警。</t>
        </is>
      </c>
      <c r="D144" t="inlineStr">
        <is>
          <t>其它</t>
        </is>
      </c>
    </row>
  </sheetData>
  <dataValidations count="1">
    <dataValidation sqref="D2:D135" showDropDown="0" showInputMessage="1" showErrorMessage="1" allowBlank="1" errorTitle="請選擇有效類別" error="請使用下拉選單中的類別，分類項目請參閱「分類說明」。" type="list">
      <formula1>類別選項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4.375" customWidth="1" style="18" min="1" max="1"/>
    <col width="55" customWidth="1" style="18" min="2" max="2"/>
    <col width="14.125" customWidth="1" style="18" min="3" max="4"/>
  </cols>
  <sheetData>
    <row r="1" ht="30" customHeight="1" s="18">
      <c r="A1" s="9" t="inlineStr">
        <is>
          <t>業別</t>
        </is>
      </c>
      <c r="B1" s="9" t="inlineStr">
        <is>
          <t>業者</t>
        </is>
      </c>
      <c r="C1" s="10" t="inlineStr">
        <is>
          <t>PDF頁碼</t>
        </is>
      </c>
      <c r="D1" s="10" t="inlineStr">
        <is>
          <t>場景筆數</t>
        </is>
      </c>
    </row>
    <row r="2">
      <c r="A2" s="13" t="inlineStr">
        <is>
          <t>銀行業</t>
        </is>
      </c>
      <c r="B2" s="13" t="inlineStr">
        <is>
          <t>富邦金控</t>
        </is>
      </c>
      <c r="C2" s="4" t="n">
        <v>1</v>
      </c>
      <c r="D2" s="5">
        <f>COUNTIFS(AI應用場景!A:A,A2,AI應用場景!B:B,B2)</f>
        <v/>
      </c>
    </row>
    <row r="3">
      <c r="A3" s="13" t="inlineStr">
        <is>
          <t>銀行業</t>
        </is>
      </c>
      <c r="B3" s="13" t="inlineStr">
        <is>
          <t>臺灣金控</t>
        </is>
      </c>
      <c r="C3" s="4" t="n">
        <v>1</v>
      </c>
      <c r="D3" s="5">
        <f>COUNTIFS(AI應用場景!A:A,A3,AI應用場景!B:B,B3)</f>
        <v/>
      </c>
    </row>
    <row r="4">
      <c r="A4" s="13" t="inlineStr">
        <is>
          <t>銀行業</t>
        </is>
      </c>
      <c r="B4" s="13" t="inlineStr">
        <is>
          <t>玉山金控</t>
        </is>
      </c>
      <c r="C4" s="4" t="n">
        <v>1</v>
      </c>
      <c r="D4" s="5">
        <f>COUNTIFS(AI應用場景!A:A,A4,AI應用場景!B:B,B4)</f>
        <v/>
      </c>
    </row>
    <row r="5">
      <c r="A5" s="13" t="inlineStr">
        <is>
          <t>銀行業</t>
        </is>
      </c>
      <c r="B5" s="13" t="inlineStr">
        <is>
          <t>王道銀行</t>
        </is>
      </c>
      <c r="C5" s="4" t="n">
        <v>1</v>
      </c>
      <c r="D5" s="5">
        <f>COUNTIFS(AI應用場景!A:A,A5,AI應用場景!B:B,B5)</f>
        <v/>
      </c>
    </row>
    <row r="6">
      <c r="A6" s="13" t="inlineStr">
        <is>
          <t>銀行業</t>
        </is>
      </c>
      <c r="B6" s="13" t="inlineStr">
        <is>
          <t>連線銀行</t>
        </is>
      </c>
      <c r="C6" s="4" t="n">
        <v>1</v>
      </c>
      <c r="D6" s="5">
        <f>COUNTIFS(AI應用場景!A:A,A6,AI應用場景!B:B,B6)</f>
        <v/>
      </c>
    </row>
    <row r="7">
      <c r="A7" s="13" t="inlineStr">
        <is>
          <t>銀行業</t>
        </is>
      </c>
      <c r="B7" s="13" t="inlineStr">
        <is>
          <t>台新銀行</t>
        </is>
      </c>
      <c r="C7" s="4" t="n">
        <v>1</v>
      </c>
      <c r="D7" s="5">
        <f>COUNTIFS(AI應用場景!A:A,A7,AI應用場景!B:B,B7)</f>
        <v/>
      </c>
    </row>
    <row r="8">
      <c r="A8" s="13" t="inlineStr">
        <is>
          <t>銀行業</t>
        </is>
      </c>
      <c r="B8" s="13" t="inlineStr">
        <is>
          <t>彰化銀行</t>
        </is>
      </c>
      <c r="C8" s="4" t="n">
        <v>1</v>
      </c>
      <c r="D8" s="5">
        <f>COUNTIFS(AI應用場景!A:A,A8,AI應用場景!B:B,B8)</f>
        <v/>
      </c>
    </row>
    <row r="9">
      <c r="A9" s="13" t="inlineStr">
        <is>
          <t>銀行業</t>
        </is>
      </c>
      <c r="B9" s="13" t="inlineStr">
        <is>
          <t>將來銀行</t>
        </is>
      </c>
      <c r="C9" s="4" t="n">
        <v>1</v>
      </c>
      <c r="D9" s="5">
        <f>COUNTIFS(AI應用場景!A:A,A9,AI應用場景!B:B,B9)</f>
        <v/>
      </c>
    </row>
    <row r="10">
      <c r="A10" s="13" t="inlineStr">
        <is>
          <t>銀行業</t>
        </is>
      </c>
      <c r="B10" s="13" t="inlineStr">
        <is>
          <t>渣打銀行</t>
        </is>
      </c>
      <c r="C10" s="4" t="n">
        <v>1</v>
      </c>
      <c r="D10" s="5">
        <f>COUNTIFS(AI應用場景!A:A,A10,AI應用場景!B:B,B10)</f>
        <v/>
      </c>
    </row>
    <row r="11">
      <c r="A11" s="13" t="inlineStr">
        <is>
          <t>銀行業</t>
        </is>
      </c>
      <c r="B11" s="13" t="inlineStr">
        <is>
          <t>華南銀行</t>
        </is>
      </c>
      <c r="C11" s="4" t="n">
        <v>2</v>
      </c>
      <c r="D11" s="5">
        <f>COUNTIFS(AI應用場景!A:A,A11,AI應用場景!B:B,B11)</f>
        <v/>
      </c>
    </row>
    <row r="12">
      <c r="A12" s="13" t="inlineStr">
        <is>
          <t>銀行業</t>
        </is>
      </c>
      <c r="B12" s="13" t="inlineStr">
        <is>
          <t>台中銀行</t>
        </is>
      </c>
      <c r="C12" s="4" t="n">
        <v>2</v>
      </c>
      <c r="D12" s="5">
        <f>COUNTIFS(AI應用場景!A:A,A12,AI應用場景!B:B,B12)</f>
        <v/>
      </c>
    </row>
    <row r="13">
      <c r="A13" s="13" t="inlineStr">
        <is>
          <t>銀行業</t>
        </is>
      </c>
      <c r="B13" s="13" t="inlineStr">
        <is>
          <t>臺灣銀行</t>
        </is>
      </c>
      <c r="C13" s="4" t="n">
        <v>2</v>
      </c>
      <c r="D13" s="5">
        <f>COUNTIFS(AI應用場景!A:A,A13,AI應用場景!B:B,B13)</f>
        <v/>
      </c>
    </row>
    <row r="14">
      <c r="A14" s="13" t="inlineStr">
        <is>
          <t>銀行業</t>
        </is>
      </c>
      <c r="B14" s="13" t="inlineStr">
        <is>
          <t>玉山銀行</t>
        </is>
      </c>
      <c r="C14" s="4" t="n">
        <v>2</v>
      </c>
      <c r="D14" s="5">
        <f>COUNTIFS(AI應用場景!A:A,A14,AI應用場景!B:B,B14)</f>
        <v/>
      </c>
    </row>
    <row r="15">
      <c r="A15" s="13" t="inlineStr">
        <is>
          <t>銀行業</t>
        </is>
      </c>
      <c r="B15" s="13" t="inlineStr">
        <is>
          <t>元大銀行</t>
        </is>
      </c>
      <c r="C15" s="4" t="n">
        <v>2</v>
      </c>
      <c r="D15" s="5">
        <f>COUNTIFS(AI應用場景!A:A,A15,AI應用場景!B:B,B15)</f>
        <v/>
      </c>
    </row>
    <row r="16">
      <c r="A16" s="13" t="inlineStr">
        <is>
          <t>銀行業</t>
        </is>
      </c>
      <c r="B16" s="13" t="inlineStr">
        <is>
          <t>國泰世華銀行</t>
        </is>
      </c>
      <c r="C16" s="4" t="n">
        <v>2</v>
      </c>
      <c r="D16" s="5">
        <f>COUNTIFS(AI應用場景!A:A,A16,AI應用場景!B:B,B16)</f>
        <v/>
      </c>
    </row>
    <row r="17">
      <c r="A17" s="13" t="inlineStr">
        <is>
          <t>銀行業</t>
        </is>
      </c>
      <c r="B17" s="13" t="inlineStr">
        <is>
          <t>滙豐銀行</t>
        </is>
      </c>
      <c r="C17" s="4" t="n">
        <v>2</v>
      </c>
      <c r="D17" s="5">
        <f>COUNTIFS(AI應用場景!A:A,A17,AI應用場景!B:B,B17)</f>
        <v/>
      </c>
    </row>
    <row r="18">
      <c r="A18" s="13" t="inlineStr">
        <is>
          <t>銀行業</t>
        </is>
      </c>
      <c r="B18" s="13" t="inlineStr">
        <is>
          <t>臺灣中小企銀</t>
        </is>
      </c>
      <c r="C18" s="4" t="n">
        <v>2</v>
      </c>
      <c r="D18" s="5">
        <f>COUNTIFS(AI應用場景!A:A,A18,AI應用場景!B:B,B18)</f>
        <v/>
      </c>
    </row>
    <row r="19">
      <c r="A19" s="13" t="inlineStr">
        <is>
          <t>銀行業</t>
        </is>
      </c>
      <c r="B19" s="13" t="inlineStr">
        <is>
          <t>中國信託銀行</t>
        </is>
      </c>
      <c r="C19" s="4" t="n">
        <v>2</v>
      </c>
      <c r="D19" s="5">
        <f>COUNTIFS(AI應用場景!A:A,A19,AI應用場景!B:B,B19)</f>
        <v/>
      </c>
    </row>
    <row r="20">
      <c r="A20" s="13" t="inlineStr">
        <is>
          <t>銀行業</t>
        </is>
      </c>
      <c r="B20" s="13" t="inlineStr">
        <is>
          <t>台北富邦銀行</t>
        </is>
      </c>
      <c r="C20" s="4" t="inlineStr">
        <is>
          <t>2–3</t>
        </is>
      </c>
      <c r="D20" s="5">
        <f>COUNTIFS(AI應用場景!A:A,A20,AI應用場景!B:B,B20)</f>
        <v/>
      </c>
    </row>
    <row r="21">
      <c r="A21" s="13" t="inlineStr">
        <is>
          <t>銀行業</t>
        </is>
      </c>
      <c r="B21" s="13" t="inlineStr">
        <is>
          <t>樂天銀行</t>
        </is>
      </c>
      <c r="C21" s="4" t="n">
        <v>3</v>
      </c>
      <c r="D21" s="5">
        <f>COUNTIFS(AI應用場景!A:A,A21,AI應用場景!B:B,B21)</f>
        <v/>
      </c>
    </row>
    <row r="22">
      <c r="A22" s="13" t="inlineStr">
        <is>
          <t>銀行業</t>
        </is>
      </c>
      <c r="B22" s="13" t="inlineStr">
        <is>
          <t>全盈支付</t>
        </is>
      </c>
      <c r="C22" s="4" t="n">
        <v>3</v>
      </c>
      <c r="D22" s="5">
        <f>COUNTIFS(AI應用場景!A:A,A22,AI應用場景!B:B,B22)</f>
        <v/>
      </c>
    </row>
    <row r="23">
      <c r="A23" s="13" t="inlineStr">
        <is>
          <t>銀行業</t>
        </is>
      </c>
      <c r="B23" s="13" t="inlineStr">
        <is>
          <t>全支付公司</t>
        </is>
      </c>
      <c r="C23" s="4" t="n">
        <v>3</v>
      </c>
      <c r="D23" s="5">
        <f>COUNTIFS(AI應用場景!A:A,A23,AI應用場景!B:B,B23)</f>
        <v/>
      </c>
    </row>
    <row r="24">
      <c r="A24" s="13" t="inlineStr">
        <is>
          <t>銀行業</t>
        </is>
      </c>
      <c r="B24" s="13" t="inlineStr">
        <is>
          <t>金融研訓院</t>
        </is>
      </c>
      <c r="C24" s="4" t="n">
        <v>3</v>
      </c>
      <c r="D24" s="5">
        <f>COUNTIFS(AI應用場景!A:A,A24,AI應用場景!B:B,B24)</f>
        <v/>
      </c>
    </row>
    <row r="25">
      <c r="A25" s="13" t="inlineStr">
        <is>
          <t>銀行業</t>
        </is>
      </c>
      <c r="B25" s="13" t="inlineStr">
        <is>
          <t>存保公司</t>
        </is>
      </c>
      <c r="C25" s="4" t="n">
        <v>3</v>
      </c>
      <c r="D25" s="5">
        <f>COUNTIFS(AI應用場景!A:A,A25,AI應用場景!B:B,B25)</f>
        <v/>
      </c>
    </row>
    <row r="26">
      <c r="A26" s="13" t="inlineStr">
        <is>
          <t>銀行業</t>
        </is>
      </c>
      <c r="B26" s="13" t="inlineStr">
        <is>
          <t>聯卡中心</t>
        </is>
      </c>
      <c r="C26" s="4" t="n">
        <v>3</v>
      </c>
      <c r="D26" s="5">
        <f>COUNTIFS(AI應用場景!A:A,A26,AI應用場景!B:B,B26)</f>
        <v/>
      </c>
    </row>
    <row r="27">
      <c r="A27" s="13" t="inlineStr">
        <is>
          <t>保險業</t>
        </is>
      </c>
      <c r="B27" s="13" t="inlineStr">
        <is>
          <t>國泰人壽</t>
        </is>
      </c>
      <c r="C27" s="4" t="n">
        <v>3</v>
      </c>
      <c r="D27" s="5">
        <f>COUNTIFS(AI應用場景!A:A,A27,AI應用場景!B:B,B27)</f>
        <v/>
      </c>
    </row>
    <row r="28">
      <c r="A28" s="13" t="inlineStr">
        <is>
          <t>保險業</t>
        </is>
      </c>
      <c r="B28" s="13" t="inlineStr">
        <is>
          <t>新光人壽</t>
        </is>
      </c>
      <c r="C28" s="4" t="n">
        <v>3</v>
      </c>
      <c r="D28" s="5">
        <f>COUNTIFS(AI應用場景!A:A,A28,AI應用場景!B:B,B28)</f>
        <v/>
      </c>
    </row>
    <row r="29">
      <c r="A29" s="13" t="inlineStr">
        <is>
          <t>保險業</t>
        </is>
      </c>
      <c r="B29" s="13" t="inlineStr">
        <is>
          <t>友邦人壽</t>
        </is>
      </c>
      <c r="C29" s="4" t="n">
        <v>3</v>
      </c>
      <c r="D29" s="5">
        <f>COUNTIFS(AI應用場景!A:A,A29,AI應用場景!B:B,B29)</f>
        <v/>
      </c>
    </row>
    <row r="30">
      <c r="A30" s="13" t="inlineStr">
        <is>
          <t>保險業</t>
        </is>
      </c>
      <c r="B30" s="13" t="inlineStr">
        <is>
          <t>台灣人壽</t>
        </is>
      </c>
      <c r="C30" s="4" t="n">
        <v>3</v>
      </c>
      <c r="D30" s="5">
        <f>COUNTIFS(AI應用場景!A:A,A30,AI應用場景!B:B,B30)</f>
        <v/>
      </c>
    </row>
    <row r="31">
      <c r="A31" s="13" t="inlineStr">
        <is>
          <t>保險業</t>
        </is>
      </c>
      <c r="B31" s="13" t="inlineStr">
        <is>
          <t>富邦人壽</t>
        </is>
      </c>
      <c r="C31" s="4" t="inlineStr">
        <is>
          <t>3–4</t>
        </is>
      </c>
      <c r="D31" s="5">
        <f>COUNTIFS(AI應用場景!A:A,A31,AI應用場景!B:B,B31)</f>
        <v/>
      </c>
    </row>
    <row r="32">
      <c r="A32" s="13" t="inlineStr">
        <is>
          <t>保險業</t>
        </is>
      </c>
      <c r="B32" s="13" t="inlineStr">
        <is>
          <t>元大人壽</t>
        </is>
      </c>
      <c r="C32" s="4" t="n">
        <v>4</v>
      </c>
      <c r="D32" s="5">
        <f>COUNTIFS(AI應用場景!A:A,A32,AI應用場景!B:B,B32)</f>
        <v/>
      </c>
    </row>
    <row r="33">
      <c r="A33" s="13" t="inlineStr">
        <is>
          <t>保險業</t>
        </is>
      </c>
      <c r="B33" s="13" t="inlineStr">
        <is>
          <t>凱基人壽</t>
        </is>
      </c>
      <c r="C33" s="4" t="n">
        <v>4</v>
      </c>
      <c r="D33" s="5">
        <f>COUNTIFS(AI應用場景!A:A,A33,AI應用場景!B:B,B33)</f>
        <v/>
      </c>
    </row>
    <row r="34">
      <c r="A34" s="13" t="inlineStr">
        <is>
          <t>保險業</t>
        </is>
      </c>
      <c r="B34" s="13" t="inlineStr">
        <is>
          <t>全球人壽</t>
        </is>
      </c>
      <c r="C34" s="4" t="n">
        <v>4</v>
      </c>
      <c r="D34" s="5">
        <f>COUNTIFS(AI應用場景!A:A,A34,AI應用場景!B:B,B34)</f>
        <v/>
      </c>
    </row>
    <row r="35">
      <c r="A35" s="13" t="inlineStr">
        <is>
          <t>保險業</t>
        </is>
      </c>
      <c r="B35" s="13" t="inlineStr">
        <is>
          <t>南山人壽</t>
        </is>
      </c>
      <c r="C35" s="4" t="n">
        <v>4</v>
      </c>
      <c r="D35" s="5">
        <f>COUNTIFS(AI應用場景!A:A,A35,AI應用場景!B:B,B35)</f>
        <v/>
      </c>
    </row>
    <row r="36">
      <c r="A36" s="13" t="inlineStr">
        <is>
          <t>保險業</t>
        </is>
      </c>
      <c r="B36" s="13" t="inlineStr">
        <is>
          <t>保誠人壽</t>
        </is>
      </c>
      <c r="C36" s="4" t="n">
        <v>4</v>
      </c>
      <c r="D36" s="5">
        <f>COUNTIFS(AI應用場景!A:A,A36,AI應用場景!B:B,B36)</f>
        <v/>
      </c>
    </row>
    <row r="37">
      <c r="A37" s="13" t="inlineStr">
        <is>
          <t>保險業</t>
        </is>
      </c>
      <c r="B37" s="13" t="inlineStr">
        <is>
          <t>科隆再保公司</t>
        </is>
      </c>
      <c r="C37" s="4" t="n">
        <v>4</v>
      </c>
      <c r="D37" s="5">
        <f>COUNTIFS(AI應用場景!A:A,A37,AI應用場景!B:B,B37)</f>
        <v/>
      </c>
    </row>
    <row r="38">
      <c r="A38" s="13" t="inlineStr">
        <is>
          <t>保險業</t>
        </is>
      </c>
      <c r="B38" s="13" t="inlineStr">
        <is>
          <t>中信產險</t>
        </is>
      </c>
      <c r="C38" s="4" t="n">
        <v>4</v>
      </c>
      <c r="D38" s="5">
        <f>COUNTIFS(AI應用場景!A:A,A38,AI應用場景!B:B,B38)</f>
        <v/>
      </c>
    </row>
    <row r="39">
      <c r="A39" s="13" t="inlineStr">
        <is>
          <t>保險業</t>
        </is>
      </c>
      <c r="B39" s="13" t="inlineStr">
        <is>
          <t>科法斯產險</t>
        </is>
      </c>
      <c r="C39" s="4" t="n">
        <v>4</v>
      </c>
      <c r="D39" s="5">
        <f>COUNTIFS(AI應用場景!A:A,A39,AI應用場景!B:B,B39)</f>
        <v/>
      </c>
    </row>
    <row r="40">
      <c r="A40" s="13" t="inlineStr">
        <is>
          <t>保險業</t>
        </is>
      </c>
      <c r="B40" s="13" t="inlineStr">
        <is>
          <t>國泰產險</t>
        </is>
      </c>
      <c r="C40" s="4" t="n">
        <v>4</v>
      </c>
      <c r="D40" s="5">
        <f>COUNTIFS(AI應用場景!A:A,A40,AI應用場景!B:B,B40)</f>
        <v/>
      </c>
    </row>
    <row r="41">
      <c r="A41" s="13" t="inlineStr">
        <is>
          <t>保險業</t>
        </is>
      </c>
      <c r="B41" s="13" t="inlineStr">
        <is>
          <t>富邦產險</t>
        </is>
      </c>
      <c r="C41" s="4" t="n">
        <v>4</v>
      </c>
      <c r="D41" s="5">
        <f>COUNTIFS(AI應用場景!A:A,A41,AI應用場景!B:B,B41)</f>
        <v/>
      </c>
    </row>
    <row r="42">
      <c r="A42" s="13" t="inlineStr">
        <is>
          <t>保險業</t>
        </is>
      </c>
      <c r="B42" s="13" t="inlineStr">
        <is>
          <t>新安東京產險</t>
        </is>
      </c>
      <c r="C42" s="4" t="n">
        <v>4</v>
      </c>
      <c r="D42" s="5">
        <f>COUNTIFS(AI應用場景!A:A,A42,AI應用場景!B:B,B42)</f>
        <v/>
      </c>
    </row>
    <row r="43">
      <c r="A43" s="13" t="inlineStr">
        <is>
          <t>保險業</t>
        </is>
      </c>
      <c r="B43" s="13" t="inlineStr">
        <is>
          <t>兆豐產險</t>
        </is>
      </c>
      <c r="C43" s="4" t="n">
        <v>4</v>
      </c>
      <c r="D43" s="5">
        <f>COUNTIFS(AI應用場景!A:A,A43,AI應用場景!B:B,B43)</f>
        <v/>
      </c>
    </row>
    <row r="44">
      <c r="A44" s="13" t="inlineStr">
        <is>
          <t>保險業</t>
        </is>
      </c>
      <c r="B44" s="13" t="inlineStr">
        <is>
          <t>富邦綜合保險代理人股份有限公司</t>
        </is>
      </c>
      <c r="C44" s="4" t="n">
        <v>4</v>
      </c>
      <c r="D44" s="5">
        <f>COUNTIFS(AI應用場景!A:A,A44,AI應用場景!B:B,B44)</f>
        <v/>
      </c>
    </row>
    <row r="45">
      <c r="A45" s="13" t="inlineStr">
        <is>
          <t>保險業</t>
        </is>
      </c>
      <c r="B45" s="13" t="inlineStr">
        <is>
          <t>和安保險代理人股份有限公司</t>
        </is>
      </c>
      <c r="C45" s="4" t="n">
        <v>5</v>
      </c>
      <c r="D45" s="5">
        <f>COUNTIFS(AI應用場景!A:A,A45,AI應用場景!B:B,B45)</f>
        <v/>
      </c>
    </row>
    <row r="46">
      <c r="A46" s="13" t="inlineStr">
        <is>
          <t>保險業</t>
        </is>
      </c>
      <c r="B46" s="13" t="inlineStr">
        <is>
          <t>遠傳保險代理人股份有限公司</t>
        </is>
      </c>
      <c r="C46" s="4" t="n">
        <v>5</v>
      </c>
      <c r="D46" s="5">
        <f>COUNTIFS(AI應用場景!A:A,A46,AI應用場景!B:B,B46)</f>
        <v/>
      </c>
    </row>
    <row r="47">
      <c r="A47" s="13" t="inlineStr">
        <is>
          <t>保險業</t>
        </is>
      </c>
      <c r="B47" s="13" t="inlineStr">
        <is>
          <t>智匯保險經紀人股份有限公司</t>
        </is>
      </c>
      <c r="C47" s="4" t="n">
        <v>5</v>
      </c>
      <c r="D47" s="5">
        <f>COUNTIFS(AI應用場景!A:A,A47,AI應用場景!B:B,B47)</f>
        <v/>
      </c>
    </row>
    <row r="48">
      <c r="A48" s="13" t="inlineStr">
        <is>
          <t>保險業</t>
        </is>
      </c>
      <c r="B48" s="13" t="inlineStr">
        <is>
          <t>錠嵂保險經紀人股份有限公司</t>
        </is>
      </c>
      <c r="C48" s="4" t="n">
        <v>5</v>
      </c>
      <c r="D48" s="5">
        <f>COUNTIFS(AI應用場景!A:A,A48,AI應用場景!B:B,B48)</f>
        <v/>
      </c>
    </row>
    <row r="49">
      <c r="A49" s="13" t="inlineStr">
        <is>
          <t>保險業</t>
        </is>
      </c>
      <c r="B49" s="13" t="inlineStr">
        <is>
          <t>公勝保險經紀人股份有限公司</t>
        </is>
      </c>
      <c r="C49" s="4" t="n">
        <v>5</v>
      </c>
      <c r="D49" s="5">
        <f>COUNTIFS(AI應用場景!A:A,A49,AI應用場景!B:B,B49)</f>
        <v/>
      </c>
    </row>
    <row r="50">
      <c r="A50" s="13" t="inlineStr">
        <is>
          <t>保險業</t>
        </is>
      </c>
      <c r="B50" s="13" t="inlineStr">
        <is>
          <t>美商達信保險經紀人股份有限公司台灣分公司</t>
        </is>
      </c>
      <c r="C50" s="4" t="n">
        <v>5</v>
      </c>
      <c r="D50" s="5">
        <f>COUNTIFS(AI應用場景!A:A,A50,AI應用場景!B:B,B50)</f>
        <v/>
      </c>
    </row>
    <row r="51">
      <c r="A51" s="13" t="inlineStr">
        <is>
          <t>保險業</t>
        </is>
      </c>
      <c r="B51" s="13" t="inlineStr">
        <is>
          <t>永達保險經紀人股份有限公司</t>
        </is>
      </c>
      <c r="C51" s="4" t="n">
        <v>5</v>
      </c>
      <c r="D51" s="5">
        <f>COUNTIFS(AI應用場景!A:A,A51,AI應用場景!B:B,B51)</f>
        <v/>
      </c>
    </row>
    <row r="52">
      <c r="A52" s="13" t="inlineStr">
        <is>
          <t>保險業</t>
        </is>
      </c>
      <c r="B52" s="13" t="inlineStr">
        <is>
          <t>財團法人汽車交通事故特別補償基金</t>
        </is>
      </c>
      <c r="C52" s="4" t="n">
        <v>5</v>
      </c>
      <c r="D52" s="5">
        <f>COUNTIFS(AI應用場景!A:A,A52,AI應用場景!B:B,B52)</f>
        <v/>
      </c>
    </row>
    <row r="53">
      <c r="A53" s="13" t="inlineStr">
        <is>
          <t>證券期貨業</t>
        </is>
      </c>
      <c r="B53" s="13" t="inlineStr">
        <is>
          <t>口袋證券</t>
        </is>
      </c>
      <c r="C53" s="4" t="n">
        <v>5</v>
      </c>
      <c r="D53" s="5">
        <f>COUNTIFS(AI應用場景!A:A,A53,AI應用場景!B:B,B53)</f>
        <v/>
      </c>
    </row>
    <row r="54">
      <c r="A54" s="13" t="inlineStr">
        <is>
          <t>證券期貨業</t>
        </is>
      </c>
      <c r="B54" s="13" t="inlineStr">
        <is>
          <t>大昌證券</t>
        </is>
      </c>
      <c r="C54" s="4" t="n">
        <v>5</v>
      </c>
      <c r="D54" s="5">
        <f>COUNTIFS(AI應用場景!A:A,A54,AI應用場景!B:B,B54)</f>
        <v/>
      </c>
    </row>
    <row r="55">
      <c r="A55" s="13" t="inlineStr">
        <is>
          <t>證券期貨業</t>
        </is>
      </c>
      <c r="B55" s="13" t="inlineStr">
        <is>
          <t>統一證券</t>
        </is>
      </c>
      <c r="C55" s="4" t="n">
        <v>5</v>
      </c>
      <c r="D55" s="5">
        <f>COUNTIFS(AI應用場景!A:A,A55,AI應用場景!B:B,B55)</f>
        <v/>
      </c>
    </row>
    <row r="56">
      <c r="A56" s="13" t="inlineStr">
        <is>
          <t>證券期貨業</t>
        </is>
      </c>
      <c r="B56" s="13" t="inlineStr">
        <is>
          <t>凱基證券</t>
        </is>
      </c>
      <c r="C56" s="4" t="n">
        <v>5</v>
      </c>
      <c r="D56" s="5">
        <f>COUNTIFS(AI應用場景!A:A,A56,AI應用場景!B:B,B56)</f>
        <v/>
      </c>
    </row>
    <row r="57">
      <c r="A57" s="13" t="inlineStr">
        <is>
          <t>證券期貨業</t>
        </is>
      </c>
      <c r="B57" s="13" t="inlineStr">
        <is>
          <t>富邦證券</t>
        </is>
      </c>
      <c r="C57" s="4" t="n">
        <v>5</v>
      </c>
      <c r="D57" s="5">
        <f>COUNTIFS(AI應用場景!A:A,A57,AI應用場景!B:B,B57)</f>
        <v/>
      </c>
    </row>
    <row r="58">
      <c r="A58" s="13" t="inlineStr">
        <is>
          <t>證券期貨業</t>
        </is>
      </c>
      <c r="B58" s="13" t="inlineStr">
        <is>
          <t>華南證券</t>
        </is>
      </c>
      <c r="C58" s="4" t="n">
        <v>5</v>
      </c>
      <c r="D58" s="5">
        <f>COUNTIFS(AI應用場景!A:A,A58,AI應用場景!B:B,B58)</f>
        <v/>
      </c>
    </row>
    <row r="59">
      <c r="A59" s="13" t="inlineStr">
        <is>
          <t>證券期貨業</t>
        </is>
      </c>
      <c r="B59" s="13" t="inlineStr">
        <is>
          <t>永豐金證券</t>
        </is>
      </c>
      <c r="C59" s="4" t="n">
        <v>5</v>
      </c>
      <c r="D59" s="5">
        <f>COUNTIFS(AI應用場景!A:A,A59,AI應用場景!B:B,B59)</f>
        <v/>
      </c>
    </row>
    <row r="60">
      <c r="A60" s="13" t="inlineStr">
        <is>
          <t>證券期貨業</t>
        </is>
      </c>
      <c r="B60" s="13" t="inlineStr">
        <is>
          <t>玉山證券</t>
        </is>
      </c>
      <c r="C60" s="4" t="inlineStr">
        <is>
          <t>5–6</t>
        </is>
      </c>
      <c r="D60" s="5">
        <f>COUNTIFS(AI應用場景!A:A,A60,AI應用場景!B:B,B60)</f>
        <v/>
      </c>
    </row>
    <row r="61">
      <c r="A61" s="13" t="inlineStr">
        <is>
          <t>證券期貨業</t>
        </is>
      </c>
      <c r="B61" s="13" t="inlineStr">
        <is>
          <t>國泰證券</t>
        </is>
      </c>
      <c r="C61" s="4" t="n">
        <v>6</v>
      </c>
      <c r="D61" s="5">
        <f>COUNTIFS(AI應用場景!A:A,A61,AI應用場景!B:B,B61)</f>
        <v/>
      </c>
    </row>
    <row r="62">
      <c r="A62" s="13" t="inlineStr">
        <is>
          <t>證券期貨業</t>
        </is>
      </c>
      <c r="B62" s="13" t="inlineStr">
        <is>
          <t>德信證券</t>
        </is>
      </c>
      <c r="C62" s="4" t="n">
        <v>6</v>
      </c>
      <c r="D62" s="5">
        <f>COUNTIFS(AI應用場景!A:A,A62,AI應用場景!B:B,B62)</f>
        <v/>
      </c>
    </row>
    <row r="63">
      <c r="A63" s="13" t="inlineStr">
        <is>
          <t>證券期貨業</t>
        </is>
      </c>
      <c r="B63" s="13" t="inlineStr">
        <is>
          <t>台新證券</t>
        </is>
      </c>
      <c r="C63" s="4" t="n">
        <v>6</v>
      </c>
      <c r="D63" s="5">
        <f>COUNTIFS(AI應用場景!A:A,A63,AI應用場景!B:B,B63)</f>
        <v/>
      </c>
    </row>
    <row r="64">
      <c r="A64" s="13" t="inlineStr">
        <is>
          <t>證券期貨業</t>
        </is>
      </c>
      <c r="B64" s="13" t="inlineStr">
        <is>
          <t>群益期貨</t>
        </is>
      </c>
      <c r="C64" s="4" t="n">
        <v>6</v>
      </c>
      <c r="D64" s="5">
        <f>COUNTIFS(AI應用場景!A:A,A64,AI應用場景!B:B,B64)</f>
        <v/>
      </c>
    </row>
    <row r="65">
      <c r="A65" s="13" t="inlineStr">
        <is>
          <t>證券期貨業</t>
        </is>
      </c>
      <c r="B65" s="13" t="inlineStr">
        <is>
          <t>統一期貨</t>
        </is>
      </c>
      <c r="C65" s="4" t="n">
        <v>6</v>
      </c>
      <c r="D65" s="5">
        <f>COUNTIFS(AI應用場景!A:A,A65,AI應用場景!B:B,B65)</f>
        <v/>
      </c>
    </row>
    <row r="66">
      <c r="A66" s="13" t="inlineStr">
        <is>
          <t>證券期貨業</t>
        </is>
      </c>
      <c r="B66" s="13" t="inlineStr">
        <is>
          <t>富邦期貨</t>
        </is>
      </c>
      <c r="C66" s="4" t="n">
        <v>6</v>
      </c>
      <c r="D66" s="5">
        <f>COUNTIFS(AI應用場景!A:A,A66,AI應用場景!B:B,B66)</f>
        <v/>
      </c>
    </row>
    <row r="67">
      <c r="A67" s="13" t="inlineStr">
        <is>
          <t>證券期貨業</t>
        </is>
      </c>
      <c r="B67" s="13" t="inlineStr">
        <is>
          <t>景順投信</t>
        </is>
      </c>
      <c r="C67" s="4" t="n">
        <v>6</v>
      </c>
      <c r="D67" s="5">
        <f>COUNTIFS(AI應用場景!A:A,A67,AI應用場景!B:B,B67)</f>
        <v/>
      </c>
    </row>
    <row r="68">
      <c r="A68" s="13" t="inlineStr">
        <is>
          <t>證券期貨業</t>
        </is>
      </c>
      <c r="B68" s="13" t="inlineStr">
        <is>
          <t>摩根投信</t>
        </is>
      </c>
      <c r="C68" s="4" t="n">
        <v>6</v>
      </c>
      <c r="D68" s="5">
        <f>COUNTIFS(AI應用場景!A:A,A68,AI應用場景!B:B,B68)</f>
        <v/>
      </c>
    </row>
    <row r="69">
      <c r="A69" s="13" t="inlineStr">
        <is>
          <t>證券期貨業</t>
        </is>
      </c>
      <c r="B69" s="13" t="inlineStr">
        <is>
          <t>瑞銀投信</t>
        </is>
      </c>
      <c r="C69" s="4" t="n">
        <v>6</v>
      </c>
      <c r="D69" s="5">
        <f>COUNTIFS(AI應用場景!A:A,A69,AI應用場景!B:B,B69)</f>
        <v/>
      </c>
    </row>
    <row r="70">
      <c r="A70" s="13" t="inlineStr">
        <is>
          <t>證券期貨業</t>
        </is>
      </c>
      <c r="B70" s="13" t="inlineStr">
        <is>
          <t>群益投信</t>
        </is>
      </c>
      <c r="C70" s="4" t="n">
        <v>6</v>
      </c>
      <c r="D70" s="5">
        <f>COUNTIFS(AI應用場景!A:A,A70,AI應用場景!B:B,B70)</f>
        <v/>
      </c>
    </row>
    <row r="71">
      <c r="A71" s="13" t="inlineStr">
        <is>
          <t>證券期貨業</t>
        </is>
      </c>
      <c r="B71" s="13" t="inlineStr">
        <is>
          <t>聯博投信</t>
        </is>
      </c>
      <c r="C71" s="4" t="n">
        <v>7</v>
      </c>
      <c r="D71" s="5">
        <f>COUNTIFS(AI應用場景!A:A,A71,AI應用場景!B:B,B71)</f>
        <v/>
      </c>
    </row>
    <row r="72">
      <c r="A72" s="13" t="inlineStr">
        <is>
          <t>證券期貨業</t>
        </is>
      </c>
      <c r="B72" s="13" t="inlineStr">
        <is>
          <t>復華投信</t>
        </is>
      </c>
      <c r="C72" s="4" t="n">
        <v>7</v>
      </c>
      <c r="D72" s="5">
        <f>COUNTIFS(AI應用場景!A:A,A72,AI應用場景!B:B,B72)</f>
        <v/>
      </c>
    </row>
    <row r="73">
      <c r="A73" s="13" t="inlineStr">
        <is>
          <t>證券期貨業</t>
        </is>
      </c>
      <c r="B73" s="13" t="inlineStr">
        <is>
          <t>野村投信</t>
        </is>
      </c>
      <c r="C73" s="4" t="n">
        <v>7</v>
      </c>
      <c r="D73" s="5">
        <f>COUNTIFS(AI應用場景!A:A,A73,AI應用場景!B:B,B73)</f>
        <v/>
      </c>
    </row>
    <row r="74">
      <c r="A74" s="13" t="inlineStr">
        <is>
          <t>證券期貨業</t>
        </is>
      </c>
      <c r="B74" s="13" t="inlineStr">
        <is>
          <t>東方匯理投信</t>
        </is>
      </c>
      <c r="C74" s="4" t="n">
        <v>7</v>
      </c>
      <c r="D74" s="5">
        <f>COUNTIFS(AI應用場景!A:A,A74,AI應用場景!B:B,B74)</f>
        <v/>
      </c>
    </row>
    <row r="75">
      <c r="A75" s="13" t="inlineStr">
        <is>
          <t>證券期貨業</t>
        </is>
      </c>
      <c r="B75" s="13" t="inlineStr">
        <is>
          <t>富達投信</t>
        </is>
      </c>
      <c r="C75" s="4" t="n">
        <v>7</v>
      </c>
      <c r="D75" s="5">
        <f>COUNTIFS(AI應用場景!A:A,A75,AI應用場景!B:B,B75)</f>
        <v/>
      </c>
    </row>
    <row r="76">
      <c r="A76" s="13" t="inlineStr">
        <is>
          <t>證券期貨業</t>
        </is>
      </c>
      <c r="B76" s="13" t="inlineStr">
        <is>
          <t>路博邁投信</t>
        </is>
      </c>
      <c r="C76" s="4" t="n">
        <v>7</v>
      </c>
      <c r="D76" s="5">
        <f>COUNTIFS(AI應用場景!A:A,A76,AI應用場景!B:B,B76)</f>
        <v/>
      </c>
    </row>
    <row r="77">
      <c r="A77" s="13" t="inlineStr">
        <is>
          <t>證券期貨業</t>
        </is>
      </c>
      <c r="B77" s="13" t="inlineStr">
        <is>
          <t>富蘭克林投顧</t>
        </is>
      </c>
      <c r="C77" s="4" t="n">
        <v>7</v>
      </c>
      <c r="D77" s="5">
        <f>COUNTIFS(AI應用場景!A:A,A77,AI應用場景!B:B,B77)</f>
        <v/>
      </c>
    </row>
    <row r="78">
      <c r="A78" s="13" t="inlineStr">
        <is>
          <t>證券期貨業</t>
        </is>
      </c>
      <c r="B78" s="13" t="inlineStr">
        <is>
          <t>法盛投顧</t>
        </is>
      </c>
      <c r="C78" s="4" t="n">
        <v>7</v>
      </c>
      <c r="D78" s="5">
        <f>COUNTIFS(AI應用場景!A:A,A78,AI應用場景!B:B,B78)</f>
        <v/>
      </c>
    </row>
    <row r="79">
      <c r="A79" s="13" t="inlineStr">
        <is>
          <t>證券期貨業</t>
        </is>
      </c>
      <c r="B79" s="13" t="inlineStr">
        <is>
          <t>阿爾發投顧</t>
        </is>
      </c>
      <c r="C79" s="4" t="n">
        <v>7</v>
      </c>
      <c r="D79" s="5">
        <f>COUNTIFS(AI應用場景!A:A,A79,AI應用場景!B:B,B79)</f>
        <v/>
      </c>
    </row>
    <row r="80">
      <c r="A80" s="13" t="inlineStr">
        <is>
          <t>證券期貨業</t>
        </is>
      </c>
      <c r="B80" s="13" t="inlineStr">
        <is>
          <t>證券交易所</t>
        </is>
      </c>
      <c r="C80" s="4" t="n">
        <v>7</v>
      </c>
      <c r="D80" s="5">
        <f>COUNTIFS(AI應用場景!A:A,A80,AI應用場景!B:B,B80)</f>
        <v/>
      </c>
    </row>
    <row r="81">
      <c r="A81" s="13" t="inlineStr">
        <is>
          <t>證券期貨業</t>
        </is>
      </c>
      <c r="B81" s="13" t="inlineStr">
        <is>
          <t>期貨交易所</t>
        </is>
      </c>
      <c r="C81" s="4" t="n">
        <v>7</v>
      </c>
      <c r="D81" s="5">
        <f>COUNTIFS(AI應用場景!A:A,A81,AI應用場景!B:B,B81)</f>
        <v/>
      </c>
    </row>
    <row r="82">
      <c r="A82" t="inlineStr">
        <is>
          <t>銀行業</t>
        </is>
      </c>
      <c r="B82" t="inlineStr">
        <is>
          <t>臺灣中小企業銀行</t>
        </is>
      </c>
      <c r="C82" t="inlineStr">
        <is>
          <t>最新蒐集</t>
        </is>
      </c>
      <c r="D82">
        <f>COUNTIF(AI應用場景!B:B, B82)</f>
        <v/>
      </c>
    </row>
    <row r="83">
      <c r="A83" t="inlineStr">
        <is>
          <t>證券期貨業</t>
        </is>
      </c>
      <c r="B83" t="inlineStr">
        <is>
          <t>元大證券</t>
        </is>
      </c>
      <c r="C83" t="inlineStr">
        <is>
          <t>最新蒐集</t>
        </is>
      </c>
      <c r="D83">
        <f>COUNTIF(AI應用場景!B:B, B83)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tabSelected="1" workbookViewId="0">
      <selection activeCell="E17" sqref="E17"/>
    </sheetView>
  </sheetViews>
  <sheetFormatPr baseColWidth="8" defaultRowHeight="16.5"/>
  <cols>
    <col width="16.625" customWidth="1" style="18" min="1" max="1"/>
    <col width="50" customWidth="1" style="18" min="2" max="2"/>
    <col width="80" customWidth="1" style="18" min="3" max="3"/>
    <col width="13.375" customWidth="1" style="18" min="4" max="4"/>
  </cols>
  <sheetData>
    <row r="1" ht="24.75" customHeight="1" s="18">
      <c r="A1" s="14" t="inlineStr">
        <is>
          <t>台灣金融業 AI 應用｜分類說明</t>
        </is>
      </c>
    </row>
    <row r="2">
      <c r="A2" s="15" t="inlineStr">
        <is>
          <t>來源：各業者AI應用 1.pdf，附件二，全文 7 頁；資料由金融機構及周邊單位自行提供。</t>
        </is>
      </c>
    </row>
    <row r="3">
      <c r="A3" s="1" t="n"/>
      <c r="B3" s="1" t="n"/>
      <c r="C3" s="1" t="n"/>
      <c r="D3" s="1" t="n"/>
    </row>
    <row r="4">
      <c r="A4" s="9" t="inlineStr">
        <is>
          <t>類別</t>
        </is>
      </c>
      <c r="B4" s="9" t="inlineStr">
        <is>
          <t>判斷原則</t>
        </is>
      </c>
      <c r="C4" s="9" t="inlineStr">
        <is>
          <t>界線與注意事項</t>
        </is>
      </c>
      <c r="D4" s="9" t="inlineStr">
        <is>
          <t>場景筆數</t>
        </is>
      </c>
    </row>
    <row r="5" ht="30" customHeight="1" s="18">
      <c r="A5" s="11" t="inlineStr">
        <is>
          <t>RAG/KM</t>
        </is>
      </c>
      <c r="B5" s="11" t="inlineStr">
        <is>
          <t>結合文件／知識檢索與生成回答。</t>
        </is>
      </c>
      <c r="C5" s="11" t="inlineStr">
        <is>
          <t>台中銀行、口袋證券原文明示 RAG；華南銀行、國泰世華銀行員工助手、達信、聯博依用途推定，並非技術驗證。</t>
        </is>
      </c>
      <c r="D5" s="12">
        <f>COUNTIF(AI應用場景!D:D,A5)</f>
        <v/>
      </c>
    </row>
    <row r="6" ht="30" customHeight="1" s="18">
      <c r="A6" s="13" t="inlineStr">
        <is>
          <t>語音質檢/應用</t>
        </is>
      </c>
      <c r="B6" s="13" t="inlineStr">
        <is>
          <t>語音轉文字、文字轉語音、錄音／語音質檢，以及明示語音辨識、IVR、語音機器人或語音自助服務的應用。</t>
        </is>
      </c>
      <c r="C6" s="13" t="inlineStr">
        <is>
          <t>語音相關用途優先於 RPA、智能客服等分類；錄音質檢不須明示轉文字即可納入。語音服務不代表已驗證 STT／TTS 技術；僅通話摘要或 AI 播報且未明示語音轉換／質檢者不逕行納入。</t>
        </is>
      </c>
      <c r="D6" s="6">
        <f>COUNTIF(AI應用場景!D:D,A6)</f>
        <v/>
      </c>
    </row>
    <row r="7" ht="30" customHeight="1" s="18">
      <c r="A7" s="11" t="inlineStr">
        <is>
          <t>生成式AI</t>
        </is>
      </c>
      <c r="B7" s="11" t="inlineStr">
        <is>
          <t>內容、摘要、報告、影音生成，以及明示 LLM 的內容處理；程式／SQL 開發輔助另歸程式助手。</t>
        </is>
      </c>
      <c r="C7" s="11" t="inlineStr">
        <is>
          <t>亦包含依角色對練、報告產出等用途推定者；不是每項都由原文明示生成式技術。</t>
        </is>
      </c>
      <c r="D7" s="12">
        <f>COUNTIF(AI應用場景!D:D,A7)</f>
        <v/>
      </c>
    </row>
    <row r="8">
      <c r="A8" s="13" t="inlineStr">
        <is>
          <t>比對</t>
        </is>
      </c>
      <c r="B8" s="13" t="inlineStr">
        <is>
          <t>以法規關聯、威脅情資或文件適法性比較為主要用途。</t>
        </is>
      </c>
      <c r="C8" s="13" t="inlineStr">
        <is>
          <t>不將所有風險模型、審查、保單健診或 eKYC 一律視為比對。</t>
        </is>
      </c>
      <c r="D8" s="6">
        <f>COUNTIF(AI應用場景!D:D,A8)</f>
        <v/>
      </c>
    </row>
    <row r="9">
      <c r="A9" s="11" t="inlineStr">
        <is>
          <t>阻詐</t>
        </is>
      </c>
      <c r="B9" s="11" t="inlineStr">
        <is>
          <t>明確用於詐欺偵測、識詐、聯防或阻擋詐騙。</t>
        </is>
      </c>
      <c r="C9" s="11" t="inlineStr">
        <is>
          <t>一般風險評級、反洗錢、異常交易、資安及理賠異常，不在未明示詐欺時直接歸入。</t>
        </is>
      </c>
      <c r="D9" s="12">
        <f>COUNTIF(AI應用場景!D:D,A9)</f>
        <v/>
      </c>
    </row>
    <row r="10" ht="30" customHeight="1" s="18">
      <c r="A10" s="13" t="inlineStr">
        <is>
          <t>M365 Copilot</t>
        </is>
      </c>
      <c r="B10" s="13" t="inlineStr">
        <is>
          <t>原文提及 Microsoft／微軟 Copilot 或 M365 Copilot 的辦公與生產力應用。</t>
        </is>
      </c>
      <c r="C10" s="13" t="inlineStr">
        <is>
          <t>將僅稱 Copilot 的辦公應用一併歸此；明示程式開發用途者優先歸程式助手。不憑 Copilot 名稱推定為 GitHub Copilot，版本與授權以原文為準。</t>
        </is>
      </c>
      <c r="D10" s="6">
        <f>COUNTIF(AI應用場景!D:D,A10)</f>
        <v/>
      </c>
    </row>
    <row r="11">
      <c r="A11" s="11" t="inlineStr">
        <is>
          <t>AI Agent</t>
        </is>
      </c>
      <c r="B11" s="11" t="inlineStr">
        <is>
          <t>原文明確稱為 AI 代理人。</t>
        </is>
      </c>
      <c r="C11" s="11" t="inlineStr">
        <is>
          <t>目前無場景歸入此類；不因名稱含「助理」「機器人」或「AI 投資長」就推定為自主代理。</t>
        </is>
      </c>
      <c r="D11" s="12">
        <f>COUNTIF(AI應用場景!D:D,A11)</f>
        <v/>
      </c>
    </row>
    <row r="12">
      <c r="A12" s="13" t="inlineStr">
        <is>
          <t>OCR</t>
        </is>
      </c>
      <c r="B12" s="13" t="inlineStr">
        <is>
          <t>原文明確使用 AI OCR 進行文件或表單辨識及欄位擷取。</t>
        </is>
      </c>
      <c r="C12" s="13" t="inlineStr">
        <is>
          <t>LLM 單據萃取、AI 審票未明示 OCR 者不自行推定。</t>
        </is>
      </c>
      <c r="D12" s="6">
        <f>COUNTIF(AI應用場景!D:D,A12)</f>
        <v/>
      </c>
    </row>
    <row r="13" ht="30" customHeight="1" s="18">
      <c r="A13" s="11" t="inlineStr">
        <is>
          <t>智能客服</t>
        </is>
      </c>
      <c r="B13" s="11" t="inlineStr">
        <is>
          <t>以對客服務、諮詢問答、語音對話、IVR 或電訪機器人為主要用途。</t>
        </is>
      </c>
      <c r="C13" s="11" t="inlineStr">
        <is>
          <t>對客服務原則歸此；明示語音辨識、IVR、語音機器人、語音自助服務或語音質檢者，優先歸語音質檢/應用；內部助理不直接歸客服。</t>
        </is>
      </c>
      <c r="D13" s="12">
        <f>COUNTIF(AI應用場景!D:D,A13)</f>
        <v/>
      </c>
    </row>
    <row r="14" ht="30" customHeight="1" s="18">
      <c r="A14" s="11" t="inlineStr">
        <is>
          <t>程式助手</t>
        </is>
      </c>
      <c r="B14" s="11" t="inlineStr">
        <is>
          <t>GitHub Copilot 或其它輔助程式／SQL 撰寫、軟體開發、編譯、測試修復或 debug 的應用。</t>
        </is>
      </c>
      <c r="C14" s="11" t="inlineStr">
        <is>
          <t>明示程式開發用途者優先歸此，含混合辦公用途及 Text-to-SQL；僅提供 API 或泛稱支援開發團隊不足以判入。現有場景未明示 GitHub Copilot。</t>
        </is>
      </c>
      <c r="D14" s="12">
        <f>COUNTIF(AI應用場景!D:D,A14)</f>
        <v/>
      </c>
    </row>
    <row r="15" ht="30" customHeight="1" s="18">
      <c r="A15" s="11" t="inlineStr">
        <is>
          <t>RPA</t>
        </is>
      </c>
      <c r="B15" s="11" t="inlineStr">
        <is>
          <t>依指定口徑，場景明示 RPA 或流程自動化即歸此，含徵審自動化；語音質檢／應用優先另分類。</t>
        </is>
      </c>
      <c r="C15" s="11" t="inlineStr">
        <is>
          <t>本分類採用途口徑，不代表均採傳統 RPA 技術；語音自動化質檢改歸語音質檢/應用。僅自動生成、摘要、辨識、設控或泛稱效率提升，不直接判入。</t>
        </is>
      </c>
      <c r="D15" s="12">
        <f>COUNTIF(AI應用場景!D:D,A15)</f>
        <v/>
      </c>
    </row>
    <row r="16" ht="30" customHeight="1" s="18">
      <c r="A16" s="11" t="inlineStr">
        <is>
          <t>模型訓練</t>
        </is>
      </c>
      <c r="B16" s="11" t="inlineStr">
        <is>
          <t>依指定口徑，將本次調整前類別為「其它」，且場景文字含「模型」的項目歸入。</t>
        </is>
      </c>
      <c r="C16" s="11" t="inlineStr">
        <is>
          <t>依文字條件分類，包含模型預測、排序及風險應用；不代表原文已明示模型訓練用途。</t>
        </is>
      </c>
      <c r="D16" s="12">
        <f>COUNTIF(AI應用場景!D:D,A16)</f>
        <v/>
      </c>
    </row>
    <row r="17" ht="30" customHeight="1" s="18">
      <c r="A17" s="11" t="inlineStr">
        <is>
          <t>App</t>
        </is>
      </c>
      <c r="B17" s="11" t="inlineStr">
        <is>
          <t>場景描述與 App 有關者歸入此類。</t>
        </is>
      </c>
      <c r="C17" s="11" t="inlineStr">
        <is>
          <t>場景描述只要提及「App」即歸入此類；亦可由使用者手動將場景類別指定為 App，不以描述是否提及「App」為限。</t>
        </is>
      </c>
      <c r="D17" s="12">
        <f>COUNTIF(AI應用場景!D:D,A17)</f>
        <v/>
      </c>
    </row>
    <row r="18" ht="45" customHeight="1" s="18">
      <c r="A18" s="13" t="inlineStr">
        <is>
          <t>其它</t>
        </is>
      </c>
      <c r="B18" s="13" t="inlineStr">
        <is>
          <t>預測、排序、評分、基礎架構，或資訊不足的應用；明示 RPA／流程自動化者另歸 RPA；本次原為其它且場景含「模型」者改歸模型訓練。</t>
        </is>
      </c>
      <c r="C18" s="13" t="inlineStr">
        <is>
          <t>保留原文概括敘述，不自行補寫不存在的細節；「其它」不代表不使用 AI。</t>
        </is>
      </c>
      <c r="D18" s="6">
        <f>COUNTIF(AI應用場景!D:D,A18)</f>
        <v/>
      </c>
    </row>
    <row r="19">
      <c r="A19" s="16" t="inlineStr">
        <is>
          <t>合計場景</t>
        </is>
      </c>
      <c r="D19" s="7">
        <f>SUM(D5:D18)</f>
        <v/>
      </c>
    </row>
    <row r="20">
      <c r="A20" s="1" t="n"/>
      <c r="B20" s="1" t="n"/>
      <c r="C20" s="1" t="n"/>
      <c r="D20" s="1" t="n"/>
    </row>
    <row r="21">
      <c r="A21" s="17" t="inlineStr">
        <is>
          <t>整理口徑與資料限制</t>
        </is>
      </c>
    </row>
    <row r="22">
      <c r="A22" s="13">
        <f>"整理單位：共 80 個業者／周邊單位、"&amp;D19&amp;" 筆場景；保留原文業別及出現順序，不依業者名稱重新推定監理業別。"</f>
        <v/>
      </c>
    </row>
    <row r="23" ht="189.95" customHeight="1" s="18">
      <c r="A23" s="13" t="inlineStr">
        <is>
          <t>拆分原則：每列為一個可獨立辨識的用途；同一產品若涵蓋不同功能可拆列。同一 Copilot 辦公套件的常見工作則合併敘述，筆數不等於系統數或成熟度。 全盈支付依指定將軟體開發、資料庫語言審查及白箱測試風險修復合併為一筆，歸類為程式助手。 富邦證券依指定將 AI 投資助理的市場問答、美股法說會摘要及每日盤前資訊播報合併為一筆，歸類為生成式AI。 永豐金證券依指定將個股 AI 市場輿情分析及每日投資早報合併為一筆，歸類為生成式AI。 統一期貨依指定將資料整理、簡報生成及複雜文件處理合併為一筆，歸類為 M365 Copilot。 富邦期貨依指定將「富邦 AI PRO」投資問答、法說會摘要、AI 主播盤前播報及個人化資訊推送合併為一筆，並依使用者指定改歸 App。 聯博投信依指定將 ABAI 的文件資料聊天查詢、資料抽取、文件比較、圖表生成、Text-to-SQL 及安全 API 支援合併為一筆，歸類為其它；其餘場景保留。</t>
        </is>
      </c>
    </row>
    <row r="24" ht="56.1" customHeight="1" s="18">
      <c r="A24" s="13" t="inlineStr">
        <is>
          <t>單一分類：每筆只選一個主要類別；語音轉文字、文字轉語音、錄音／語音質檢及明示語音辨識／服務者優先歸語音質檢/應用；其後依 RPA／流程自動化、程式助手及其餘主要用途分類。</t>
        </is>
      </c>
    </row>
    <row r="25" ht="36" customHeight="1" s="18">
      <c r="A25" s="13" t="inlineStr">
        <is>
          <t>推定標註：主表部分列依用途推定技術類別；RAG 等標籤是整理判斷，不代表對業者技術架構進行查證。</t>
        </is>
      </c>
    </row>
    <row r="26">
      <c r="A26" s="13" t="inlineStr">
        <is>
          <t>產品名稱：除原文明示 M365 者外，Copilot 的版本與授權不明；純辦公用途歸 M365 Copilot，明示程式開發用途歸程式助手；本次未將任何場景自行推定為 GitHub Copilot。</t>
        </is>
      </c>
    </row>
    <row r="27">
      <c r="A27" s="13" t="inlineStr">
        <is>
          <t>資料限制：原文未詳述的場景仍予保留並註明；未引入外部資料。原文所列精準度、減量比例等為業者自行提供，未獨立驗證。</t>
        </is>
      </c>
    </row>
    <row r="28">
      <c r="A28" s="13" t="inlineStr">
        <is>
          <t>來源回查：請於「來源索引」以業者查找 PDF 頁碼；跨頁項目標為 2–3、3–4、5–6。PDF 頁序與本附件印刷頁碼一致。</t>
        </is>
      </c>
    </row>
    <row r="29">
      <c r="A29" s="13" t="inlineStr">
        <is>
          <t>使用方式：主表可依業別、業者及類別篩選；來源索引與本表的場景筆數以公式連結主表，後續修改分類時會重新計算。</t>
        </is>
      </c>
    </row>
  </sheetData>
  <mergeCells count="12">
    <mergeCell ref="A1:D1"/>
    <mergeCell ref="A23:D23"/>
    <mergeCell ref="A27:D27"/>
    <mergeCell ref="A19:C19"/>
    <mergeCell ref="A22:D22"/>
    <mergeCell ref="A26:D26"/>
    <mergeCell ref="A21:D21"/>
    <mergeCell ref="A29:D29"/>
    <mergeCell ref="A25:D25"/>
    <mergeCell ref="A24:D24"/>
    <mergeCell ref="A2:D2"/>
    <mergeCell ref="A28:D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陳家暐 dewey_chen(Yuanta)</dc:creator>
  <dcterms:created xmlns:dcterms="http://purl.org/dc/terms/" xmlns:xsi="http://www.w3.org/2001/XMLSchema-instance" xsi:type="dcterms:W3CDTF">2026-10-19T07:44:23Z</dcterms:created>
  <dcterms:modified xmlns:dcterms="http://purl.org/dc/terms/" xmlns:xsi="http://www.w3.org/2001/XMLSchema-instance" xsi:type="dcterms:W3CDTF">2026-10-20T06:59:53Z</dcterms:modified>
  <cp:lastModifiedBy>陳家暐 dewey_chen(Yuanta)</cp:lastModifiedBy>
</cp:coreProperties>
</file>